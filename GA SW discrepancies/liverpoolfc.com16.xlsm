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akov.tayeb\Documents\GitHub\SW\GA SW discrepancies\"/>
    </mc:Choice>
  </mc:AlternateContent>
  <bookViews>
    <workbookView xWindow="0" yWindow="0" windowWidth="28800" windowHeight="136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Q2" i="1"/>
  <c r="N3" i="1"/>
  <c r="N7" i="1"/>
  <c r="N11" i="1"/>
  <c r="N12" i="1"/>
  <c r="N5" i="1"/>
  <c r="N13" i="1"/>
  <c r="N10" i="1"/>
  <c r="N4" i="1"/>
  <c r="N8" i="1"/>
  <c r="N9" i="1"/>
  <c r="N6" i="1"/>
  <c r="N2" i="1"/>
  <c r="L3" i="1"/>
  <c r="L7" i="1"/>
  <c r="L11" i="1"/>
  <c r="L8" i="1"/>
  <c r="L12" i="1"/>
  <c r="L5" i="1"/>
  <c r="L9" i="1"/>
  <c r="L13" i="1"/>
  <c r="L6" i="1"/>
  <c r="L10" i="1"/>
  <c r="L4" i="1"/>
  <c r="L2" i="1"/>
  <c r="R21" i="1"/>
  <c r="R2" i="1" l="1"/>
  <c r="P2" i="1"/>
  <c r="Q3" i="1"/>
  <c r="Q4" i="1"/>
  <c r="Q5" i="1"/>
  <c r="Q6" i="1"/>
  <c r="Q7" i="1"/>
  <c r="Q8" i="1"/>
  <c r="Q9" i="1"/>
  <c r="Q10" i="1"/>
  <c r="Q11" i="1"/>
  <c r="Q12" i="1"/>
  <c r="Q13" i="1"/>
  <c r="O2" i="1"/>
  <c r="O3" i="1"/>
  <c r="O4" i="1"/>
  <c r="O5" i="1"/>
  <c r="O6" i="1"/>
  <c r="O7" i="1"/>
  <c r="O8" i="1"/>
  <c r="O9" i="1"/>
  <c r="O10" i="1"/>
  <c r="O11" i="1"/>
  <c r="O12" i="1"/>
  <c r="O13" i="1"/>
  <c r="M3" i="1"/>
  <c r="M4" i="1"/>
  <c r="M5" i="1"/>
  <c r="M6" i="1"/>
  <c r="M7" i="1"/>
  <c r="M8" i="1"/>
  <c r="M9" i="1"/>
  <c r="M10" i="1"/>
  <c r="M11" i="1"/>
  <c r="M12" i="1"/>
  <c r="M13" i="1"/>
  <c r="R12" i="1" l="1"/>
  <c r="R8" i="1"/>
  <c r="R4" i="1"/>
  <c r="R11" i="1"/>
  <c r="R7" i="1"/>
  <c r="R3" i="1"/>
  <c r="R10" i="1"/>
  <c r="R6" i="1"/>
  <c r="R13" i="1"/>
  <c r="R9" i="1"/>
  <c r="R5" i="1"/>
  <c r="P6" i="1"/>
  <c r="P13" i="1"/>
  <c r="P9" i="1"/>
  <c r="P5" i="1"/>
  <c r="P12" i="1"/>
  <c r="P8" i="1"/>
  <c r="P4" i="1"/>
  <c r="P10" i="1"/>
  <c r="P11" i="1"/>
  <c r="P7" i="1"/>
  <c r="P3" i="1"/>
  <c r="E3" i="1"/>
  <c r="E4" i="1"/>
  <c r="E5" i="1"/>
  <c r="E6" i="1"/>
  <c r="E7" i="1"/>
  <c r="E8" i="1"/>
  <c r="E9" i="1"/>
  <c r="E10" i="1"/>
  <c r="E11" i="1"/>
  <c r="E12" i="1"/>
  <c r="E13" i="1"/>
  <c r="E2" i="1"/>
</calcChain>
</file>

<file path=xl/sharedStrings.xml><?xml version="1.0" encoding="utf-8"?>
<sst xmlns="http://schemas.openxmlformats.org/spreadsheetml/2006/main" count="54" uniqueCount="18">
  <si>
    <t>site</t>
  </si>
  <si>
    <t>country</t>
  </si>
  <si>
    <t>platform</t>
  </si>
  <si>
    <t>rawvisits</t>
  </si>
  <si>
    <t>total_raw_visits</t>
  </si>
  <si>
    <t>estimatedvisits</t>
  </si>
  <si>
    <t>total_est_visits</t>
  </si>
  <si>
    <t>year</t>
  </si>
  <si>
    <t>month</t>
  </si>
  <si>
    <t>CI.left</t>
  </si>
  <si>
    <t>CI.right</t>
  </si>
  <si>
    <t>magnitude</t>
  </si>
  <si>
    <t>liverpoolfc.com*</t>
  </si>
  <si>
    <t>desktop</t>
  </si>
  <si>
    <t>NaN</t>
  </si>
  <si>
    <t>a</t>
  </si>
  <si>
    <t>b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</si>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</sst>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0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43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Sheet1!$Q$2:$Q$13</c:f>
              <c:numCache>
                <c:formatCode>_(* #,##0.00_);_(* \(#,##0.00\);_(* "-"??_);_(@_)</c:formatCode>
                <c:ptCount val="12"/>
                <c:pt idx="0">
                  <c:v>3877717.4004595899</c:v>
                </c:pt>
                <c:pt idx="1">
                  <c:v>3379066.7457684898</c:v>
                </c:pt>
                <c:pt idx="2">
                  <c:v>3591139.6443074802</c:v>
                </c:pt>
                <c:pt idx="3">
                  <c:v>3940396.6662912499</c:v>
                </c:pt>
                <c:pt idx="4">
                  <c:v>3818629.9115113001</c:v>
                </c:pt>
                <c:pt idx="5">
                  <c:v>2857397.9721682598</c:v>
                </c:pt>
                <c:pt idx="6">
                  <c:v>5506815.8036042899</c:v>
                </c:pt>
                <c:pt idx="7">
                  <c:v>4389122.2988232998</c:v>
                </c:pt>
                <c:pt idx="8">
                  <c:v>3436257.8733145096</c:v>
                </c:pt>
                <c:pt idx="9">
                  <c:v>3064726.74725577</c:v>
                </c:pt>
                <c:pt idx="10">
                  <c:v>3110766.8881161907</c:v>
                </c:pt>
                <c:pt idx="11">
                  <c:v>2846220.5156899099</c:v>
                </c:pt>
              </c:numCache>
            </c:numRef>
          </c:val>
          <c:smooth val="0"/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Sheet1!$R$2:$R$13</c:f>
              <c:numCache>
                <c:formatCode>_(* #,##0.00_);_(* \(#,##0.00\);_(* "-"??_);_(@_)</c:formatCode>
                <c:ptCount val="12"/>
                <c:pt idx="0">
                  <c:v>3919960.412916522</c:v>
                </c:pt>
                <c:pt idx="1">
                  <c:v>3420060.7389819394</c:v>
                </c:pt>
                <c:pt idx="2">
                  <c:v>3633100.128629168</c:v>
                </c:pt>
                <c:pt idx="3">
                  <c:v>3985864.1434790045</c:v>
                </c:pt>
                <c:pt idx="4">
                  <c:v>3868157.9405856561</c:v>
                </c:pt>
                <c:pt idx="5">
                  <c:v>2898392.26864878</c:v>
                </c:pt>
                <c:pt idx="6">
                  <c:v>5564337.6376843499</c:v>
                </c:pt>
                <c:pt idx="7">
                  <c:v>4440937.5720781712</c:v>
                </c:pt>
                <c:pt idx="8">
                  <c:v>3478182.6153084561</c:v>
                </c:pt>
                <c:pt idx="9">
                  <c:v>3104103.1823052051</c:v>
                </c:pt>
                <c:pt idx="10">
                  <c:v>3148762.8777167704</c:v>
                </c:pt>
                <c:pt idx="11">
                  <c:v>2883833.2292402619</c:v>
                </c:pt>
              </c:numCache>
            </c:numRef>
          </c:val>
          <c:smooth val="0"/>
        </c:ser>
        <c:ser>
          <c:idx val="0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Sheet1!$P$2:$P$13</c:f>
              <c:numCache>
                <c:formatCode>_(* #,##0.00_);_(* \(#,##0.00\);_(* "-"??_);_(@_)</c:formatCode>
                <c:ptCount val="12"/>
                <c:pt idx="0">
                  <c:v>3835817.9762790436</c:v>
                </c:pt>
                <c:pt idx="1">
                  <c:v>3338443.6886607371</c:v>
                </c:pt>
                <c:pt idx="2">
                  <c:v>3549544.9790961747</c:v>
                </c:pt>
                <c:pt idx="3">
                  <c:v>3895320.6894378397</c:v>
                </c:pt>
                <c:pt idx="4">
                  <c:v>3769580.673766885</c:v>
                </c:pt>
                <c:pt idx="5">
                  <c:v>2816841.5309278914</c:v>
                </c:pt>
                <c:pt idx="6">
                  <c:v>5449742.7481485382</c:v>
                </c:pt>
                <c:pt idx="7">
                  <c:v>4337763.3894859795</c:v>
                </c:pt>
                <c:pt idx="8">
                  <c:v>3394714.6231862679</c:v>
                </c:pt>
                <c:pt idx="9">
                  <c:v>3025727.4298866461</c:v>
                </c:pt>
                <c:pt idx="10">
                  <c:v>3073117.0239470503</c:v>
                </c:pt>
                <c:pt idx="11">
                  <c:v>2808978.1962628509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373000"/>
        <c:axId val="316373392"/>
      </c:lineChart>
      <c:catAx>
        <c:axId val="316373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73392"/>
        <c:crosses val="autoZero"/>
        <c:auto val="1"/>
        <c:lblAlgn val="ctr"/>
        <c:lblOffset val="100"/>
        <c:noMultiLvlLbl val="0"/>
      </c:catAx>
      <c:valAx>
        <c:axId val="316373392"/>
        <c:scaling>
          <c:orientation val="minMax"/>
          <c:min val="2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7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538162</xdr:colOff>
      <xdr:row>16</xdr:row>
      <xdr:rowOff>4761</xdr:rowOff>
    </xdr:from>
    <xdr:to>
      <xdr:col>8</xdr:col>
      <xdr:colOff>571501</xdr:colOff>
      <xdr:row>29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9"/>
  <sheetViews>
    <sheetView tabSelected="1" workbookViewId="0">
      <selection activeCell="L21" sqref="L21"/>
    </sheetView>
  </sheetViews>
  <sheetFormatPr defaultRowHeight="15" x14ac:dyDescent="0.25"/>
  <cols>
    <col min="6" max="7" width="15.28515625" bestFit="1" customWidth="1"/>
    <col min="8" max="8" width="14.7109375" bestFit="1" customWidth="1"/>
    <col min="9" max="9" width="14.5703125" bestFit="1" customWidth="1"/>
    <col min="12" max="12" width="16.42578125" bestFit="1" customWidth="1"/>
    <col min="13" max="13" width="12" customWidth="1"/>
    <col min="14" max="14" width="16.42578125" bestFit="1" customWidth="1"/>
    <col min="15" max="15" width="20.5703125" bestFit="1" customWidth="1"/>
    <col min="16" max="16" width="14.28515625" bestFit="1" customWidth="1"/>
    <col min="17" max="17" width="13.28515625" bestFit="1" customWidth="1"/>
    <col min="18" max="18" width="14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15</v>
      </c>
      <c r="E1" t="s">
        <v>16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17</v>
      </c>
      <c r="N1" t="s">
        <v>10</v>
      </c>
      <c r="O1" t="s">
        <v>11</v>
      </c>
      <c r="P1" t="s">
        <v>9</v>
      </c>
      <c r="Q1" t="s">
        <v>17</v>
      </c>
      <c r="R1" t="s">
        <v>10</v>
      </c>
    </row>
    <row r="2" spans="1:18" x14ac:dyDescent="0.25">
      <c r="A2" t="s">
        <v>12</v>
      </c>
      <c r="B2">
        <v>999</v>
      </c>
      <c r="C2" t="s">
        <v>13</v>
      </c>
      <c r="D2">
        <v>1</v>
      </c>
      <c r="E2">
        <f>ROUND(G2/F2,0)</f>
        <v>660303</v>
      </c>
      <c r="F2" s="2">
        <v>32728</v>
      </c>
      <c r="G2" s="2">
        <v>21610396589</v>
      </c>
      <c r="H2" s="1">
        <v>3877717.4004595899</v>
      </c>
      <c r="I2" t="s">
        <v>14</v>
      </c>
      <c r="J2">
        <v>16</v>
      </c>
      <c r="K2">
        <v>1</v>
      </c>
      <c r="L2" s="5">
        <f>Clopper_Pearson_CI(G2,F2,0.05,0)</f>
        <v>1.4980922734451179E-6</v>
      </c>
      <c r="M2" s="5">
        <f>F2/G2</f>
        <v>1.5144562417081702E-6</v>
      </c>
      <c r="N2" s="5">
        <f>Clopper_Pearson_CI(G2,F2,0.05,1)</f>
        <v>1.5309543995874355E-6</v>
      </c>
      <c r="O2" s="4">
        <f>H2/M2</f>
        <v>2560468433268.0845</v>
      </c>
      <c r="P2" s="4">
        <f>L2*O2</f>
        <v>3835817.9762790436</v>
      </c>
      <c r="Q2" s="4">
        <f>M2*O2</f>
        <v>3877717.4004595899</v>
      </c>
      <c r="R2" s="4">
        <f>N2*O2</f>
        <v>3919960.412916522</v>
      </c>
    </row>
    <row r="3" spans="1:18" x14ac:dyDescent="0.25">
      <c r="A3" t="s">
        <v>12</v>
      </c>
      <c r="B3">
        <v>999</v>
      </c>
      <c r="C3" t="s">
        <v>13</v>
      </c>
      <c r="D3">
        <v>1</v>
      </c>
      <c r="E3">
        <f t="shared" ref="E3:E13" si="0">ROUND(G3/F3,0)</f>
        <v>766208</v>
      </c>
      <c r="F3" s="2">
        <v>26422</v>
      </c>
      <c r="G3" s="2">
        <v>20244755856</v>
      </c>
      <c r="H3" s="1">
        <v>3379066.7457684898</v>
      </c>
      <c r="I3" t="s">
        <v>14</v>
      </c>
      <c r="J3">
        <v>16</v>
      </c>
      <c r="K3">
        <v>2</v>
      </c>
      <c r="L3" s="5">
        <f t="shared" ref="L3:L13" si="1">Clopper_Pearson_CI(G3,F3,0.05,0)</f>
        <v>1.2894378945888771E-6</v>
      </c>
      <c r="M3" s="5">
        <f t="shared" ref="M3:M13" si="2">F3/G3</f>
        <v>1.3051281125807814E-6</v>
      </c>
      <c r="N3" s="5">
        <f t="shared" ref="N3:N13" si="3">Clopper_Pearson_CI(G3,F3,0.05,1)</f>
        <v>1.3209616006457385E-6</v>
      </c>
      <c r="O3" s="4">
        <f t="shared" ref="O3:O13" si="4">H3/M3</f>
        <v>2589069006479.8838</v>
      </c>
      <c r="P3" s="4">
        <f t="shared" ref="P3:P13" si="5">L3*O3</f>
        <v>3338443.6886607371</v>
      </c>
      <c r="Q3" s="4">
        <f t="shared" ref="Q3:Q13" si="6">M3*O3</f>
        <v>3379066.7457684898</v>
      </c>
      <c r="R3" s="4">
        <f t="shared" ref="R3:R13" si="7">N3*O3</f>
        <v>3420060.7389819394</v>
      </c>
    </row>
    <row r="4" spans="1:18" x14ac:dyDescent="0.25">
      <c r="A4" t="s">
        <v>12</v>
      </c>
      <c r="B4">
        <v>999</v>
      </c>
      <c r="C4" t="s">
        <v>13</v>
      </c>
      <c r="D4">
        <v>1</v>
      </c>
      <c r="E4">
        <f t="shared" si="0"/>
        <v>782758</v>
      </c>
      <c r="F4" s="2">
        <v>28471</v>
      </c>
      <c r="G4" s="2">
        <v>22285900896</v>
      </c>
      <c r="H4" s="1">
        <v>3591139.6443074802</v>
      </c>
      <c r="I4" t="s">
        <v>14</v>
      </c>
      <c r="J4">
        <v>16</v>
      </c>
      <c r="K4">
        <v>3</v>
      </c>
      <c r="L4" s="5">
        <f t="shared" si="1"/>
        <v>1.2627370314729484E-6</v>
      </c>
      <c r="M4" s="5">
        <f t="shared" si="2"/>
        <v>1.2775341743133272E-6</v>
      </c>
      <c r="N4" s="5">
        <f t="shared" si="3"/>
        <v>1.2924614559011287E-6</v>
      </c>
      <c r="O4" s="4">
        <f t="shared" si="4"/>
        <v>2810993018044.0869</v>
      </c>
      <c r="P4" s="4">
        <f t="shared" si="5"/>
        <v>3549544.9790961747</v>
      </c>
      <c r="Q4" s="4">
        <f t="shared" si="6"/>
        <v>3591139.6443074802</v>
      </c>
      <c r="R4" s="4">
        <f t="shared" si="7"/>
        <v>3633100.128629168</v>
      </c>
    </row>
    <row r="5" spans="1:18" x14ac:dyDescent="0.25">
      <c r="A5" t="s">
        <v>12</v>
      </c>
      <c r="B5">
        <v>999</v>
      </c>
      <c r="C5" t="s">
        <v>13</v>
      </c>
      <c r="D5">
        <v>1</v>
      </c>
      <c r="E5">
        <f t="shared" si="0"/>
        <v>667208</v>
      </c>
      <c r="F5" s="2">
        <v>29190</v>
      </c>
      <c r="G5" s="2">
        <v>19475807986</v>
      </c>
      <c r="H5" s="1">
        <v>3940396.6662912499</v>
      </c>
      <c r="I5" t="s">
        <v>14</v>
      </c>
      <c r="J5">
        <v>16</v>
      </c>
      <c r="K5">
        <v>4</v>
      </c>
      <c r="L5" s="5">
        <f t="shared" si="1"/>
        <v>1.4816372408911535E-6</v>
      </c>
      <c r="M5" s="5">
        <f t="shared" si="2"/>
        <v>1.4987824906151752E-6</v>
      </c>
      <c r="N5" s="5">
        <f t="shared" si="3"/>
        <v>1.5160766527193146E-6</v>
      </c>
      <c r="O5" s="4">
        <f t="shared" si="4"/>
        <v>2629065051776.7354</v>
      </c>
      <c r="P5" s="4">
        <f t="shared" si="5"/>
        <v>3895320.6894378397</v>
      </c>
      <c r="Q5" s="4">
        <f t="shared" si="6"/>
        <v>3940396.6662912499</v>
      </c>
      <c r="R5" s="4">
        <f t="shared" si="7"/>
        <v>3985864.1434790045</v>
      </c>
    </row>
    <row r="6" spans="1:18" x14ac:dyDescent="0.25">
      <c r="A6" t="s">
        <v>12</v>
      </c>
      <c r="B6">
        <v>999</v>
      </c>
      <c r="C6" t="s">
        <v>13</v>
      </c>
      <c r="D6">
        <v>1</v>
      </c>
      <c r="E6">
        <f t="shared" si="0"/>
        <v>747448</v>
      </c>
      <c r="F6" s="2">
        <v>23136</v>
      </c>
      <c r="G6" s="2">
        <v>17292955934</v>
      </c>
      <c r="H6" s="1">
        <v>3818629.9115113001</v>
      </c>
      <c r="I6" t="s">
        <v>14</v>
      </c>
      <c r="J6">
        <v>16</v>
      </c>
      <c r="K6">
        <v>5</v>
      </c>
      <c r="L6" s="5">
        <f t="shared" si="1"/>
        <v>1.320701018982771E-6</v>
      </c>
      <c r="M6" s="5">
        <f t="shared" si="2"/>
        <v>1.3378857893526395E-6</v>
      </c>
      <c r="N6" s="5">
        <f t="shared" si="3"/>
        <v>1.3552383078759649E-6</v>
      </c>
      <c r="O6" s="4">
        <f t="shared" si="4"/>
        <v>2854227126038.1758</v>
      </c>
      <c r="P6" s="4">
        <f t="shared" si="5"/>
        <v>3769580.673766885</v>
      </c>
      <c r="Q6" s="4">
        <f t="shared" si="6"/>
        <v>3818629.9115113001</v>
      </c>
      <c r="R6" s="4">
        <f t="shared" si="7"/>
        <v>3868157.9405856561</v>
      </c>
    </row>
    <row r="7" spans="1:18" x14ac:dyDescent="0.25">
      <c r="A7" t="s">
        <v>12</v>
      </c>
      <c r="B7">
        <v>999</v>
      </c>
      <c r="C7" t="s">
        <v>13</v>
      </c>
      <c r="D7">
        <v>1</v>
      </c>
      <c r="E7">
        <f t="shared" si="0"/>
        <v>888086</v>
      </c>
      <c r="F7" s="2">
        <v>18935</v>
      </c>
      <c r="G7" s="2">
        <v>16815899219</v>
      </c>
      <c r="H7" s="1">
        <v>2857397.9721682598</v>
      </c>
      <c r="I7" t="s">
        <v>14</v>
      </c>
      <c r="J7">
        <v>16</v>
      </c>
      <c r="K7">
        <v>6</v>
      </c>
      <c r="L7" s="5">
        <f t="shared" si="1"/>
        <v>1.1100355728098436E-6</v>
      </c>
      <c r="M7" s="5">
        <f t="shared" si="2"/>
        <v>1.1260176903656549E-6</v>
      </c>
      <c r="N7" s="5">
        <f t="shared" si="3"/>
        <v>1.1421723539759649E-6</v>
      </c>
      <c r="O7" s="4">
        <f t="shared" si="4"/>
        <v>2537613748537.4399</v>
      </c>
      <c r="P7" s="4">
        <f t="shared" si="5"/>
        <v>2816841.5309278914</v>
      </c>
      <c r="Q7" s="4">
        <f t="shared" si="6"/>
        <v>2857397.9721682598</v>
      </c>
      <c r="R7" s="4">
        <f t="shared" si="7"/>
        <v>2898392.26864878</v>
      </c>
    </row>
    <row r="8" spans="1:18" x14ac:dyDescent="0.25">
      <c r="A8" t="s">
        <v>12</v>
      </c>
      <c r="B8">
        <v>999</v>
      </c>
      <c r="C8" t="s">
        <v>13</v>
      </c>
      <c r="D8">
        <v>1</v>
      </c>
      <c r="E8">
        <f t="shared" si="0"/>
        <v>451981</v>
      </c>
      <c r="F8" s="2">
        <v>35581</v>
      </c>
      <c r="G8" s="2">
        <v>16081947231</v>
      </c>
      <c r="H8" s="1">
        <v>5506815.8036042899</v>
      </c>
      <c r="I8" t="s">
        <v>14</v>
      </c>
      <c r="J8">
        <v>16</v>
      </c>
      <c r="K8">
        <v>7</v>
      </c>
      <c r="L8" s="5">
        <f t="shared" si="1"/>
        <v>2.1895505139588274E-6</v>
      </c>
      <c r="M8" s="5">
        <f t="shared" si="2"/>
        <v>2.2124808326328229E-6</v>
      </c>
      <c r="N8" s="5">
        <f t="shared" si="3"/>
        <v>2.2355914577016186E-6</v>
      </c>
      <c r="O8" s="4">
        <f t="shared" si="4"/>
        <v>2488977857969.1704</v>
      </c>
      <c r="P8" s="4">
        <f t="shared" si="5"/>
        <v>5449742.7481485382</v>
      </c>
      <c r="Q8" s="4">
        <f t="shared" si="6"/>
        <v>5506815.8036042899</v>
      </c>
      <c r="R8" s="4">
        <f t="shared" si="7"/>
        <v>5564337.6376843499</v>
      </c>
    </row>
    <row r="9" spans="1:18" x14ac:dyDescent="0.25">
      <c r="A9" t="s">
        <v>12</v>
      </c>
      <c r="B9">
        <v>999</v>
      </c>
      <c r="C9" t="s">
        <v>13</v>
      </c>
      <c r="D9">
        <v>1</v>
      </c>
      <c r="E9">
        <f t="shared" si="0"/>
        <v>569729</v>
      </c>
      <c r="F9" s="2">
        <v>27894</v>
      </c>
      <c r="G9" s="2">
        <v>15892013520</v>
      </c>
      <c r="H9" s="1">
        <v>4389122.2988232998</v>
      </c>
      <c r="I9" t="s">
        <v>14</v>
      </c>
      <c r="J9">
        <v>16</v>
      </c>
      <c r="K9">
        <v>8</v>
      </c>
      <c r="L9" s="5">
        <f t="shared" si="1"/>
        <v>1.7346827008248941E-6</v>
      </c>
      <c r="M9" s="5">
        <f t="shared" si="2"/>
        <v>1.7552212603453662E-6</v>
      </c>
      <c r="N9" s="5">
        <f t="shared" si="3"/>
        <v>1.7759423209665152E-6</v>
      </c>
      <c r="O9" s="4">
        <f t="shared" si="4"/>
        <v>2500609124321.8384</v>
      </c>
      <c r="P9" s="4">
        <f t="shared" si="5"/>
        <v>4337763.3894859795</v>
      </c>
      <c r="Q9" s="4">
        <f t="shared" si="6"/>
        <v>4389122.2988232998</v>
      </c>
      <c r="R9" s="4">
        <f t="shared" si="7"/>
        <v>4440937.5720781712</v>
      </c>
    </row>
    <row r="10" spans="1:18" x14ac:dyDescent="0.25">
      <c r="A10" t="s">
        <v>12</v>
      </c>
      <c r="B10">
        <v>999</v>
      </c>
      <c r="C10" t="s">
        <v>13</v>
      </c>
      <c r="D10">
        <v>1</v>
      </c>
      <c r="E10">
        <f t="shared" si="0"/>
        <v>651908</v>
      </c>
      <c r="F10" s="2">
        <v>26126</v>
      </c>
      <c r="G10" s="2">
        <v>17031751157</v>
      </c>
      <c r="H10" s="1">
        <v>3436257.8733145101</v>
      </c>
      <c r="I10" t="s">
        <v>14</v>
      </c>
      <c r="J10">
        <v>16</v>
      </c>
      <c r="K10">
        <v>9</v>
      </c>
      <c r="L10" s="5">
        <f t="shared" si="1"/>
        <v>1.5154134676406499E-6</v>
      </c>
      <c r="M10" s="5">
        <f t="shared" si="2"/>
        <v>1.5339585318719438E-6</v>
      </c>
      <c r="N10" s="5">
        <f t="shared" si="3"/>
        <v>1.5526738955172549E-6</v>
      </c>
      <c r="O10" s="4">
        <f t="shared" si="4"/>
        <v>2240124359242.6992</v>
      </c>
      <c r="P10" s="4">
        <f t="shared" si="5"/>
        <v>3394714.6231862679</v>
      </c>
      <c r="Q10" s="4">
        <f t="shared" si="6"/>
        <v>3436257.8733145096</v>
      </c>
      <c r="R10" s="4">
        <f t="shared" si="7"/>
        <v>3478182.6153084561</v>
      </c>
    </row>
    <row r="11" spans="1:18" x14ac:dyDescent="0.25">
      <c r="A11" t="s">
        <v>12</v>
      </c>
      <c r="B11">
        <v>999</v>
      </c>
      <c r="C11" t="s">
        <v>13</v>
      </c>
      <c r="D11">
        <v>1</v>
      </c>
      <c r="E11">
        <f t="shared" si="0"/>
        <v>763612</v>
      </c>
      <c r="F11" s="2">
        <v>23574</v>
      </c>
      <c r="G11" s="2">
        <v>18001379254</v>
      </c>
      <c r="H11" s="1">
        <v>3064726.74725577</v>
      </c>
      <c r="I11" t="s">
        <v>14</v>
      </c>
      <c r="J11">
        <v>16</v>
      </c>
      <c r="K11">
        <v>10</v>
      </c>
      <c r="L11" s="5">
        <f t="shared" si="1"/>
        <v>1.2929018033397964E-6</v>
      </c>
      <c r="M11" s="5">
        <f t="shared" si="2"/>
        <v>1.3095663208563164E-6</v>
      </c>
      <c r="N11" s="5">
        <f t="shared" si="3"/>
        <v>1.326391981813627E-6</v>
      </c>
      <c r="O11" s="4">
        <f t="shared" si="4"/>
        <v>2340260816460.0371</v>
      </c>
      <c r="P11" s="4">
        <f t="shared" si="5"/>
        <v>3025727.4298866461</v>
      </c>
      <c r="Q11" s="4">
        <f t="shared" si="6"/>
        <v>3064726.74725577</v>
      </c>
      <c r="R11" s="4">
        <f t="shared" si="7"/>
        <v>3104103.1823052051</v>
      </c>
    </row>
    <row r="12" spans="1:18" x14ac:dyDescent="0.25">
      <c r="A12" t="s">
        <v>12</v>
      </c>
      <c r="B12">
        <v>999</v>
      </c>
      <c r="C12" t="s">
        <v>13</v>
      </c>
      <c r="D12">
        <v>1</v>
      </c>
      <c r="E12">
        <f t="shared" si="0"/>
        <v>745373</v>
      </c>
      <c r="F12" s="2">
        <v>26068</v>
      </c>
      <c r="G12" s="2">
        <v>19430386344</v>
      </c>
      <c r="H12" s="1">
        <v>3110766.8881161902</v>
      </c>
      <c r="I12" t="s">
        <v>14</v>
      </c>
      <c r="J12">
        <v>16</v>
      </c>
      <c r="K12">
        <v>11</v>
      </c>
      <c r="L12" s="5">
        <f t="shared" si="1"/>
        <v>1.3253723535885327E-6</v>
      </c>
      <c r="M12" s="5">
        <f t="shared" si="2"/>
        <v>1.3416099679381651E-6</v>
      </c>
      <c r="N12" s="5">
        <f t="shared" si="3"/>
        <v>1.3579968590885599E-6</v>
      </c>
      <c r="O12" s="4">
        <f t="shared" si="4"/>
        <v>2318682003307.5112</v>
      </c>
      <c r="P12" s="4">
        <f t="shared" si="5"/>
        <v>3073117.0239470503</v>
      </c>
      <c r="Q12" s="4">
        <f t="shared" si="6"/>
        <v>3110766.8881161907</v>
      </c>
      <c r="R12" s="4">
        <f t="shared" si="7"/>
        <v>3148762.8777167704</v>
      </c>
    </row>
    <row r="13" spans="1:18" x14ac:dyDescent="0.25">
      <c r="A13" t="s">
        <v>12</v>
      </c>
      <c r="B13">
        <v>999</v>
      </c>
      <c r="C13" t="s">
        <v>13</v>
      </c>
      <c r="D13">
        <v>1</v>
      </c>
      <c r="E13">
        <f t="shared" si="0"/>
        <v>847784</v>
      </c>
      <c r="F13" s="2">
        <v>22292</v>
      </c>
      <c r="G13" s="2">
        <v>18898809169</v>
      </c>
      <c r="H13" s="1">
        <v>2846220.5156899099</v>
      </c>
      <c r="I13" t="s">
        <v>14</v>
      </c>
      <c r="J13">
        <v>16</v>
      </c>
      <c r="K13">
        <v>12</v>
      </c>
      <c r="L13" s="5">
        <f t="shared" si="1"/>
        <v>1.1641110670797691E-6</v>
      </c>
      <c r="M13" s="5">
        <f t="shared" si="2"/>
        <v>1.17954521899538E-6</v>
      </c>
      <c r="N13" s="5">
        <f t="shared" si="3"/>
        <v>1.1951328715322062E-6</v>
      </c>
      <c r="O13" s="4">
        <f t="shared" si="4"/>
        <v>2412981265876.3853</v>
      </c>
      <c r="P13" s="4">
        <f t="shared" si="5"/>
        <v>2808978.1962628509</v>
      </c>
      <c r="Q13" s="4">
        <f t="shared" si="6"/>
        <v>2846220.5156899099</v>
      </c>
      <c r="R13" s="4">
        <f t="shared" si="7"/>
        <v>2883833.2292402619</v>
      </c>
    </row>
    <row r="14" spans="1:18" x14ac:dyDescent="0.25">
      <c r="F14" s="2"/>
      <c r="G14" s="2"/>
      <c r="H14" s="1"/>
    </row>
    <row r="15" spans="1:18" x14ac:dyDescent="0.25">
      <c r="L15" s="5"/>
      <c r="M15" s="5"/>
      <c r="N15" s="5"/>
    </row>
    <row r="17" spans="6:18" x14ac:dyDescent="0.25">
      <c r="F17" s="3"/>
    </row>
    <row r="18" spans="6:18" x14ac:dyDescent="0.25">
      <c r="F18" s="3"/>
    </row>
    <row r="19" spans="6:18" x14ac:dyDescent="0.25">
      <c r="F19" s="3"/>
    </row>
    <row r="20" spans="6:18" x14ac:dyDescent="0.25">
      <c r="F20" s="3"/>
    </row>
    <row r="21" spans="6:18" x14ac:dyDescent="0.25">
      <c r="F21" s="3"/>
      <c r="R21">
        <f>check(10)</f>
        <v>6</v>
      </c>
    </row>
    <row r="22" spans="6:18" x14ac:dyDescent="0.25">
      <c r="F22" s="3"/>
    </row>
    <row r="23" spans="6:18" x14ac:dyDescent="0.25">
      <c r="F23" s="3"/>
    </row>
    <row r="24" spans="6:18" x14ac:dyDescent="0.25">
      <c r="F24" s="3"/>
    </row>
    <row r="25" spans="6:18" x14ac:dyDescent="0.25">
      <c r="F25" s="3"/>
    </row>
    <row r="26" spans="6:18" x14ac:dyDescent="0.25">
      <c r="F26" s="3"/>
    </row>
    <row r="27" spans="6:18" x14ac:dyDescent="0.25">
      <c r="F27" s="3"/>
    </row>
    <row r="28" spans="6:18" x14ac:dyDescent="0.25">
      <c r="F28" s="3"/>
    </row>
    <row r="29" spans="6:18" x14ac:dyDescent="0.25">
      <c r="F29" s="3"/>
    </row>
    <row r="30" spans="6:18" x14ac:dyDescent="0.25">
      <c r="F30" s="3"/>
    </row>
    <row r="31" spans="6:18" x14ac:dyDescent="0.25">
      <c r="F31" s="3"/>
    </row>
    <row r="32" spans="6:18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Yaakov Tayeb</dc:creator>
  <cp:lastModifiedBy>Yaakov Tayeb</cp:lastModifiedBy>
  <dcterms:created xsi:type="dcterms:W3CDTF">2017-03-19T07:52:11Z</dcterms:created>
  <dcterms:modified xsi:type="dcterms:W3CDTF">2017-03-20T09:10:45Z</dcterms:modified>
</cp:coreProperties>
</file>