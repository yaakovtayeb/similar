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akov.tayeb\Documents\GitHub\similar\similar\Clients\"/>
    </mc:Choice>
  </mc:AlternateContent>
  <bookViews>
    <workbookView xWindow="0" yWindow="465" windowWidth="27315" windowHeight="13545" activeTab="2"/>
  </bookViews>
  <sheets>
    <sheet name="Overview" sheetId="8" r:id="rId1"/>
    <sheet name="Data" sheetId="3" r:id="rId2"/>
    <sheet name="Sheet2" sheetId="10" r:id="rId3"/>
    <sheet name="Sheet3" sheetId="11" r:id="rId4"/>
  </sheet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81" i="10" l="1"/>
  <c r="N80" i="10"/>
  <c r="N79" i="10"/>
  <c r="N78" i="10"/>
  <c r="N77" i="10"/>
  <c r="M77" i="10"/>
  <c r="M81" i="10" l="1"/>
  <c r="M80" i="10"/>
  <c r="M79" i="10"/>
  <c r="M78" i="10"/>
  <c r="L54" i="10"/>
  <c r="L53" i="10"/>
  <c r="T2" i="10"/>
  <c r="U2" i="10"/>
  <c r="M2" i="10"/>
  <c r="S2" i="10"/>
  <c r="L2" i="10"/>
  <c r="S3" i="10" s="1"/>
  <c r="N2" i="10"/>
  <c r="O2" i="10"/>
  <c r="P2" i="10"/>
  <c r="U3" i="10" s="1"/>
  <c r="Q2" i="10"/>
  <c r="L3" i="10"/>
  <c r="M3" i="10"/>
  <c r="N3" i="10"/>
  <c r="O3" i="10"/>
  <c r="P3" i="10"/>
  <c r="Q3" i="10"/>
  <c r="L4" i="10"/>
  <c r="M4" i="10"/>
  <c r="T3" i="10" s="1"/>
  <c r="N4" i="10"/>
  <c r="O4" i="10"/>
  <c r="P4" i="10"/>
  <c r="Q4" i="10"/>
  <c r="L5" i="10"/>
  <c r="M5" i="10"/>
  <c r="N5" i="10"/>
  <c r="O5" i="10"/>
  <c r="P5" i="10"/>
  <c r="Q5" i="10"/>
  <c r="L6" i="10"/>
  <c r="M6" i="10"/>
  <c r="N6" i="10"/>
  <c r="O6" i="10"/>
  <c r="P6" i="10"/>
  <c r="Q6" i="10"/>
</calcChain>
</file>

<file path=xl/sharedStrings.xml><?xml version="1.0" encoding="utf-8"?>
<sst xmlns="http://schemas.openxmlformats.org/spreadsheetml/2006/main" count="1526" uniqueCount="88">
  <si>
    <t>Desktop Share</t>
  </si>
  <si>
    <t>Avg. Visit Duration</t>
  </si>
  <si>
    <t>Bounce Rate</t>
  </si>
  <si>
    <t>Total Page Views</t>
  </si>
  <si>
    <t>Sessions</t>
  </si>
  <si>
    <t>Pages / Session</t>
  </si>
  <si>
    <t>Website</t>
  </si>
  <si>
    <t>Myprotein FR</t>
  </si>
  <si>
    <t>Myprotein DE</t>
  </si>
  <si>
    <t>Lookfantastic FR</t>
  </si>
  <si>
    <t>Lookfantastic UK</t>
  </si>
  <si>
    <t>Zavvi UK</t>
  </si>
  <si>
    <t>IdealFit USA</t>
  </si>
  <si>
    <t>N/A</t>
  </si>
  <si>
    <t>ga.desktop</t>
  </si>
  <si>
    <t>ga.mobile</t>
  </si>
  <si>
    <t>country</t>
  </si>
  <si>
    <t>ga</t>
  </si>
  <si>
    <t>site</t>
  </si>
  <si>
    <t>Fr.Myprotein.com – worldwide traffic to this domain</t>
  </si>
  <si>
    <t>De.Myprotein.com – worldwide traffic to this domain</t>
  </si>
  <si>
    <t>Lookfantastic.fr – worldwide traffic to this domain</t>
  </si>
  <si>
    <t>Lookfantastic.com – UK traffic only</t>
  </si>
  <si>
    <t>Idealfit.com – worldwide traffic</t>
  </si>
  <si>
    <t>Zavvi.com – UK traffic only</t>
  </si>
  <si>
    <t>Idealfit.com</t>
  </si>
  <si>
    <t>ww</t>
  </si>
  <si>
    <t>date</t>
  </si>
  <si>
    <t>sw.desktop</t>
  </si>
  <si>
    <t>sw.mobile</t>
  </si>
  <si>
    <t>sw</t>
  </si>
  <si>
    <t>Zavvi.com</t>
  </si>
  <si>
    <t>uk</t>
  </si>
  <si>
    <t>Lookfantastic.com</t>
  </si>
  <si>
    <t>Lookfantastic.fr</t>
  </si>
  <si>
    <t>De.Myprotein.com</t>
  </si>
  <si>
    <t>Fr.Myprotein.com</t>
  </si>
  <si>
    <t xml:space="preserve"> 28/05/2017</t>
  </si>
  <si>
    <t xml:space="preserve"> 08/01/2017</t>
  </si>
  <si>
    <t xml:space="preserve"> 15/01/2017</t>
  </si>
  <si>
    <t xml:space="preserve"> 22/01/2017</t>
  </si>
  <si>
    <t xml:space="preserve"> 29/01/2017</t>
  </si>
  <si>
    <t xml:space="preserve"> 05/02/2017</t>
  </si>
  <si>
    <t xml:space="preserve"> 12/02/2017</t>
  </si>
  <si>
    <t xml:space="preserve"> 19/02/2017</t>
  </si>
  <si>
    <t xml:space="preserve"> 26/02/2017</t>
  </si>
  <si>
    <t xml:space="preserve"> 05/03/2017</t>
  </si>
  <si>
    <t xml:space="preserve"> 12/03/2017</t>
  </si>
  <si>
    <t xml:space="preserve"> 19/03/2017</t>
  </si>
  <si>
    <t xml:space="preserve"> 26/03/2017</t>
  </si>
  <si>
    <t xml:space="preserve"> 02/04/2017</t>
  </si>
  <si>
    <t xml:space="preserve"> 09/04/2017</t>
  </si>
  <si>
    <t xml:space="preserve"> 16/04/2017</t>
  </si>
  <si>
    <t xml:space="preserve"> 23/04/2017</t>
  </si>
  <si>
    <t xml:space="preserve"> 30/04/2017</t>
  </si>
  <si>
    <t xml:space="preserve"> 07/05/2017</t>
  </si>
  <si>
    <t xml:space="preserve"> 14/05/2017</t>
  </si>
  <si>
    <t xml:space="preserve"> 21/05/2017</t>
  </si>
  <si>
    <t xml:space="preserve"> 01/01/2017</t>
  </si>
  <si>
    <t>desktop</t>
  </si>
  <si>
    <t>mobile</t>
  </si>
  <si>
    <t>lookfantastic.fr</t>
  </si>
  <si>
    <t>overall we see all the picks and lows</t>
  </si>
  <si>
    <t>problems in 14-21.5, 16-23.4, 01.01.17</t>
  </si>
  <si>
    <t>site is small</t>
  </si>
  <si>
    <t>sw.mobile.france</t>
  </si>
  <si>
    <t>this is extreamly important specialy for mobile</t>
  </si>
  <si>
    <t>do they track checkout.lookfantastic.fr</t>
  </si>
  <si>
    <t xml:space="preserve">our increase came from </t>
  </si>
  <si>
    <t>fr.myprotein.com</t>
  </si>
  <si>
    <t>lookfantastic.com</t>
  </si>
  <si>
    <t>I used the ww filter not the uk one</t>
  </si>
  <si>
    <t>Idealfit</t>
  </si>
  <si>
    <t>All and all we show all trends</t>
  </si>
  <si>
    <t>problem with two last weeks of may - need further checkout</t>
  </si>
  <si>
    <t>the site (Desktop) is very small</t>
  </si>
  <si>
    <t>Zavvi</t>
  </si>
  <si>
    <t xml:space="preserve">mobile assessment looks weird - please ask the client to send: mobile traffic sources, android-ios for all period, </t>
  </si>
  <si>
    <t>lookfantastic.fr*</t>
  </si>
  <si>
    <t>m.lookfantastic.fr#</t>
  </si>
  <si>
    <t>m.lookfantastic.fr</t>
  </si>
  <si>
    <t>checkout.lookfantastic.fr</t>
  </si>
  <si>
    <t>checkout.lookfantastic.fr#</t>
  </si>
  <si>
    <t xml:space="preserve">site </t>
  </si>
  <si>
    <t>month</t>
  </si>
  <si>
    <t>day</t>
  </si>
  <si>
    <t>visits</t>
  </si>
  <si>
    <t>sw.ww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</si>
</sst>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222222"/>
      <name val="Calibri"/>
    </font>
    <font>
      <u/>
      <sz val="11"/>
      <color theme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13">
    <xf numFmtId="0" fontId="0" fillId="0" borderId="0" xfId="0"/>
    <xf numFmtId="0" fontId="19" fillId="0" borderId="10" xfId="0" applyFont="1" applyBorder="1" applyAlignment="1">
      <alignment horizontal="center"/>
    </xf>
    <xf numFmtId="9" fontId="19" fillId="0" borderId="10" xfId="1" applyFont="1" applyBorder="1" applyAlignment="1">
      <alignment horizontal="center"/>
    </xf>
    <xf numFmtId="0" fontId="19" fillId="0" borderId="0" xfId="0" applyFont="1"/>
    <xf numFmtId="0" fontId="19" fillId="0" borderId="0" xfId="0" applyFont="1" applyBorder="1"/>
    <xf numFmtId="0" fontId="0" fillId="0" borderId="0" xfId="0" applyFont="1" applyBorder="1"/>
    <xf numFmtId="0" fontId="18" fillId="33" borderId="10" xfId="0" applyFont="1" applyFill="1" applyBorder="1" applyAlignment="1">
      <alignment horizontal="center" vertical="center"/>
    </xf>
    <xf numFmtId="0" fontId="21" fillId="0" borderId="0" xfId="43"/>
    <xf numFmtId="0" fontId="20" fillId="0" borderId="0" xfId="0" applyFont="1"/>
    <xf numFmtId="14" fontId="0" fillId="0" borderId="0" xfId="0" applyNumberFormat="1"/>
    <xf numFmtId="4" fontId="0" fillId="34" borderId="11" xfId="0" applyNumberFormat="1" applyFont="1" applyFill="1" applyBorder="1" applyAlignment="1">
      <alignment vertical="center"/>
    </xf>
    <xf numFmtId="4" fontId="0" fillId="0" borderId="11" xfId="0" applyNumberFormat="1" applyFont="1" applyBorder="1" applyAlignment="1">
      <alignment vertical="center"/>
    </xf>
    <xf numFmtId="4" fontId="0" fillId="0" borderId="0" xfId="0" applyNumberFormat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sw.desktop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Sheet2!$L$2:$L$6</c:f>
              <c:numCache>
                <c:formatCode>#,##0.00</c:formatCode>
                <c:ptCount val="5"/>
                <c:pt idx="0">
                  <c:v>161022.07174416957</c:v>
                </c:pt>
                <c:pt idx="1">
                  <c:v>157918.67288052471</c:v>
                </c:pt>
                <c:pt idx="2">
                  <c:v>158422.70390449604</c:v>
                </c:pt>
                <c:pt idx="3">
                  <c:v>177398.68512255209</c:v>
                </c:pt>
                <c:pt idx="4">
                  <c:v>108446.81375576078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Sheet2!$O$1:$O$6</c:f>
              <c:strCache>
                <c:ptCount val="6"/>
                <c:pt idx="0">
                  <c:v>ga.desktop</c:v>
                </c:pt>
                <c:pt idx="1">
                  <c:v>189,515.00</c:v>
                </c:pt>
                <c:pt idx="2">
                  <c:v>142,342.00</c:v>
                </c:pt>
                <c:pt idx="3">
                  <c:v>127,083.00</c:v>
                </c:pt>
                <c:pt idx="4">
                  <c:v>137,299.00</c:v>
                </c:pt>
                <c:pt idx="5">
                  <c:v>92,107.00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Sheet2!$O$2:$O$6</c:f>
              <c:numCache>
                <c:formatCode>#,##0.00</c:formatCode>
                <c:ptCount val="5"/>
                <c:pt idx="0">
                  <c:v>189515</c:v>
                </c:pt>
                <c:pt idx="1">
                  <c:v>142342</c:v>
                </c:pt>
                <c:pt idx="2">
                  <c:v>127083</c:v>
                </c:pt>
                <c:pt idx="3">
                  <c:v>137299</c:v>
                </c:pt>
                <c:pt idx="4">
                  <c:v>92107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809616"/>
        <c:axId val="384811968"/>
      </c:lineChart>
      <c:catAx>
        <c:axId val="384809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811968"/>
        <c:crosses val="autoZero"/>
        <c:auto val="1"/>
        <c:lblAlgn val="ctr"/>
        <c:lblOffset val="100"/>
        <c:noMultiLvlLbl val="0"/>
      </c:catAx>
      <c:valAx>
        <c:axId val="38481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80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sw.mobile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Sheet2!$M$2:$M$6</c:f>
              <c:numCache>
                <c:formatCode>#,##0.00</c:formatCode>
                <c:ptCount val="5"/>
                <c:pt idx="0">
                  <c:v>371872.10273491003</c:v>
                </c:pt>
                <c:pt idx="1">
                  <c:v>220230.96479991</c:v>
                </c:pt>
                <c:pt idx="2">
                  <c:v>470792.08962680993</c:v>
                </c:pt>
                <c:pt idx="3">
                  <c:v>438847.67239593994</c:v>
                </c:pt>
                <c:pt idx="4">
                  <c:v>192175.60758249002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Sheet2!$P$1</c:f>
              <c:strCache>
                <c:ptCount val="1"/>
                <c:pt idx="0">
                  <c:v>ga.mobile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Sheet2!$P$2:$P$6</c:f>
              <c:numCache>
                <c:formatCode>#,##0.00</c:formatCode>
                <c:ptCount val="5"/>
                <c:pt idx="0">
                  <c:v>328113</c:v>
                </c:pt>
                <c:pt idx="1">
                  <c:v>271067</c:v>
                </c:pt>
                <c:pt idx="2">
                  <c:v>231289</c:v>
                </c:pt>
                <c:pt idx="3">
                  <c:v>255813</c:v>
                </c:pt>
                <c:pt idx="4">
                  <c:v>168947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688320"/>
        <c:axId val="382687536"/>
      </c:lineChart>
      <c:catAx>
        <c:axId val="382688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87536"/>
        <c:crosses val="autoZero"/>
        <c:auto val="1"/>
        <c:lblAlgn val="ctr"/>
        <c:lblOffset val="100"/>
        <c:noMultiLvlLbl val="0"/>
      </c:catAx>
      <c:valAx>
        <c:axId val="3826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8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Mobile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Sheet2!$C$52</c:f>
              <c:strCache>
                <c:ptCount val="1"/>
                <c:pt idx="0">
                  <c:v>sw.mobile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Sheet2!$C$53:$C$74</c:f>
              <c:numCache>
                <c:formatCode>#,##0.00</c:formatCode>
                <c:ptCount val="22"/>
                <c:pt idx="0">
                  <c:v>588922.81544669997</c:v>
                </c:pt>
                <c:pt idx="1">
                  <c:v>599174.07935329992</c:v>
                </c:pt>
                <c:pt idx="2">
                  <c:v>562888.0487705</c:v>
                </c:pt>
                <c:pt idx="3">
                  <c:v>492207.06215000001</c:v>
                </c:pt>
                <c:pt idx="4">
                  <c:v>632212.27275809995</c:v>
                </c:pt>
                <c:pt idx="5">
                  <c:v>585471.13397670002</c:v>
                </c:pt>
                <c:pt idx="6">
                  <c:v>670206.77295169991</c:v>
                </c:pt>
                <c:pt idx="7">
                  <c:v>649799.45263890014</c:v>
                </c:pt>
                <c:pt idx="8">
                  <c:v>616232.90392730001</c:v>
                </c:pt>
                <c:pt idx="9">
                  <c:v>544452.12843769998</c:v>
                </c:pt>
                <c:pt idx="10">
                  <c:v>560880.95919540001</c:v>
                </c:pt>
                <c:pt idx="11">
                  <c:v>549804.75939170003</c:v>
                </c:pt>
                <c:pt idx="12">
                  <c:v>542201.54626750003</c:v>
                </c:pt>
                <c:pt idx="13">
                  <c:v>518962.83209089999</c:v>
                </c:pt>
                <c:pt idx="14">
                  <c:v>556039.97372630006</c:v>
                </c:pt>
                <c:pt idx="15">
                  <c:v>548634.50090059999</c:v>
                </c:pt>
                <c:pt idx="16">
                  <c:v>593628.28825590003</c:v>
                </c:pt>
                <c:pt idx="17">
                  <c:v>598847.09257400001</c:v>
                </c:pt>
                <c:pt idx="18">
                  <c:v>612349.29974080005</c:v>
                </c:pt>
                <c:pt idx="19">
                  <c:v>485855.37697779998</c:v>
                </c:pt>
                <c:pt idx="20">
                  <c:v>497739.18973089999</c:v>
                </c:pt>
                <c:pt idx="21">
                  <c:v>332933.93242769997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Sheet2!$F$52</c:f>
              <c:strCache>
                <c:ptCount val="1"/>
                <c:pt idx="0">
                  <c:v>ga.mobile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Sheet2!$F$53:$F$74</c:f>
              <c:numCache>
                <c:formatCode>General</c:formatCode>
                <c:ptCount val="22"/>
                <c:pt idx="0">
                  <c:v>615279</c:v>
                </c:pt>
                <c:pt idx="1">
                  <c:v>670646</c:v>
                </c:pt>
                <c:pt idx="2">
                  <c:v>649235</c:v>
                </c:pt>
                <c:pt idx="3">
                  <c:v>617796</c:v>
                </c:pt>
                <c:pt idx="4">
                  <c:v>696009</c:v>
                </c:pt>
                <c:pt idx="5">
                  <c:v>636920</c:v>
                </c:pt>
                <c:pt idx="6">
                  <c:v>662603</c:v>
                </c:pt>
                <c:pt idx="7">
                  <c:v>678186</c:v>
                </c:pt>
                <c:pt idx="8">
                  <c:v>643703</c:v>
                </c:pt>
                <c:pt idx="9">
                  <c:v>604334</c:v>
                </c:pt>
                <c:pt idx="10">
                  <c:v>604516</c:v>
                </c:pt>
                <c:pt idx="11">
                  <c:v>584119</c:v>
                </c:pt>
                <c:pt idx="12">
                  <c:v>594876</c:v>
                </c:pt>
                <c:pt idx="13">
                  <c:v>572092</c:v>
                </c:pt>
                <c:pt idx="14">
                  <c:v>556941</c:v>
                </c:pt>
                <c:pt idx="15">
                  <c:v>580664</c:v>
                </c:pt>
                <c:pt idx="16">
                  <c:v>564954</c:v>
                </c:pt>
                <c:pt idx="17">
                  <c:v>571179</c:v>
                </c:pt>
                <c:pt idx="18">
                  <c:v>529078</c:v>
                </c:pt>
                <c:pt idx="19">
                  <c:v>521203</c:v>
                </c:pt>
                <c:pt idx="20">
                  <c:v>489422</c:v>
                </c:pt>
                <c:pt idx="21">
                  <c:v>554517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220856"/>
        <c:axId val="543221640"/>
      </c:lineChart>
      <c:catAx>
        <c:axId val="5432208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21640"/>
        <c:crosses val="autoZero"/>
        <c:auto val="1"/>
        <c:lblAlgn val="ctr"/>
        <c:lblOffset val="100"/>
        <c:noMultiLvlLbl val="0"/>
      </c:catAx>
      <c:valAx>
        <c:axId val="543221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2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desktop</a:t>
            </a:r>
            <a:r>
              <a:rPr lang="en-US" baseline="0"/>
              <a:t> - ww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Sheet2!$B$52</c:f>
              <c:strCache>
                <c:ptCount val="1"/>
                <c:pt idx="0">
                  <c:v>sw.desktop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Sheet2!$B$53:$B$74</c:f>
              <c:numCache>
                <c:formatCode>#,##0.00</c:formatCode>
                <c:ptCount val="22"/>
                <c:pt idx="0">
                  <c:v>278854.88649852743</c:v>
                </c:pt>
                <c:pt idx="1">
                  <c:v>271614.68336888542</c:v>
                </c:pt>
                <c:pt idx="2">
                  <c:v>290101.05416149343</c:v>
                </c:pt>
                <c:pt idx="3">
                  <c:v>288734.28131809295</c:v>
                </c:pt>
                <c:pt idx="4">
                  <c:v>314263.71146016067</c:v>
                </c:pt>
                <c:pt idx="5">
                  <c:v>326567.96841133299</c:v>
                </c:pt>
                <c:pt idx="6">
                  <c:v>328249.59140086902</c:v>
                </c:pt>
                <c:pt idx="7">
                  <c:v>293017.91361022886</c:v>
                </c:pt>
                <c:pt idx="8">
                  <c:v>294820.16573126358</c:v>
                </c:pt>
                <c:pt idx="9">
                  <c:v>265315.01643814973</c:v>
                </c:pt>
                <c:pt idx="10">
                  <c:v>265683.75782704627</c:v>
                </c:pt>
                <c:pt idx="11">
                  <c:v>314607.78149197571</c:v>
                </c:pt>
                <c:pt idx="12">
                  <c:v>312840.19813924935</c:v>
                </c:pt>
                <c:pt idx="13">
                  <c:v>328858.05515785806</c:v>
                </c:pt>
                <c:pt idx="14">
                  <c:v>336370.37875616614</c:v>
                </c:pt>
                <c:pt idx="15">
                  <c:v>341236.03180593456</c:v>
                </c:pt>
                <c:pt idx="16">
                  <c:v>314136.96526352462</c:v>
                </c:pt>
                <c:pt idx="17">
                  <c:v>355368.51148725767</c:v>
                </c:pt>
                <c:pt idx="18">
                  <c:v>305088.53527981753</c:v>
                </c:pt>
                <c:pt idx="19">
                  <c:v>287725.2810501986</c:v>
                </c:pt>
                <c:pt idx="20">
                  <c:v>273824.3057168377</c:v>
                </c:pt>
                <c:pt idx="21">
                  <c:v>171372.8937099725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Sheet2!$E$52</c:f>
              <c:strCache>
                <c:ptCount val="1"/>
                <c:pt idx="0">
                  <c:v>ga.desktop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Sheet2!$E$53:$E$74</c:f>
              <c:numCache>
                <c:formatCode>General</c:formatCode>
                <c:ptCount val="22"/>
                <c:pt idx="0">
                  <c:v>312633</c:v>
                </c:pt>
                <c:pt idx="1">
                  <c:v>337077</c:v>
                </c:pt>
                <c:pt idx="2">
                  <c:v>328701</c:v>
                </c:pt>
                <c:pt idx="3">
                  <c:v>324091</c:v>
                </c:pt>
                <c:pt idx="4">
                  <c:v>336880</c:v>
                </c:pt>
                <c:pt idx="5">
                  <c:v>351823</c:v>
                </c:pt>
                <c:pt idx="6">
                  <c:v>350990</c:v>
                </c:pt>
                <c:pt idx="7">
                  <c:v>342758</c:v>
                </c:pt>
                <c:pt idx="8">
                  <c:v>332187</c:v>
                </c:pt>
                <c:pt idx="9">
                  <c:v>316922</c:v>
                </c:pt>
                <c:pt idx="10">
                  <c:v>306700</c:v>
                </c:pt>
                <c:pt idx="11">
                  <c:v>308862</c:v>
                </c:pt>
                <c:pt idx="12">
                  <c:v>309182</c:v>
                </c:pt>
                <c:pt idx="13">
                  <c:v>287804</c:v>
                </c:pt>
                <c:pt idx="14">
                  <c:v>284452</c:v>
                </c:pt>
                <c:pt idx="15">
                  <c:v>294092</c:v>
                </c:pt>
                <c:pt idx="16">
                  <c:v>293895</c:v>
                </c:pt>
                <c:pt idx="17">
                  <c:v>285726</c:v>
                </c:pt>
                <c:pt idx="18">
                  <c:v>278372</c:v>
                </c:pt>
                <c:pt idx="19">
                  <c:v>256796</c:v>
                </c:pt>
                <c:pt idx="20">
                  <c:v>252485</c:v>
                </c:pt>
                <c:pt idx="21">
                  <c:v>256873.99999999997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536944"/>
        <c:axId val="384811184"/>
      </c:lineChart>
      <c:catAx>
        <c:axId val="5885369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811184"/>
        <c:crosses val="autoZero"/>
        <c:auto val="1"/>
        <c:lblAlgn val="ctr"/>
        <c:lblOffset val="100"/>
        <c:noMultiLvlLbl val="0"/>
      </c:catAx>
      <c:valAx>
        <c:axId val="38481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53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Mobile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Data!$F$1</c:f>
              <c:strCache>
                <c:ptCount val="1"/>
                <c:pt idx="0">
                  <c:v>ga.mobile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Data!$F$2:$F$23</c:f>
              <c:numCache>
                <c:formatCode>General</c:formatCode>
                <c:ptCount val="22"/>
                <c:pt idx="0">
                  <c:v>528478.87199999997</c:v>
                </c:pt>
                <c:pt idx="1">
                  <c:v>426289.42440000002</c:v>
                </c:pt>
                <c:pt idx="2">
                  <c:v>386677.54359999998</c:v>
                </c:pt>
                <c:pt idx="3">
                  <c:v>448244.68949999998</c:v>
                </c:pt>
                <c:pt idx="4">
                  <c:v>493039.2132</c:v>
                </c:pt>
                <c:pt idx="5">
                  <c:v>432627.15759999998</c:v>
                </c:pt>
                <c:pt idx="6">
                  <c:v>278366.10749999998</c:v>
                </c:pt>
                <c:pt idx="7">
                  <c:v>330502.55359999998</c:v>
                </c:pt>
                <c:pt idx="8">
                  <c:v>358478.73249999998</c:v>
                </c:pt>
                <c:pt idx="9">
                  <c:v>344254.08240000001</c:v>
                </c:pt>
                <c:pt idx="10">
                  <c:v>338211.04800000001</c:v>
                </c:pt>
                <c:pt idx="11">
                  <c:v>354889.62060000002</c:v>
                </c:pt>
                <c:pt idx="12">
                  <c:v>333355.81089999998</c:v>
                </c:pt>
                <c:pt idx="13">
                  <c:v>302048.6385</c:v>
                </c:pt>
                <c:pt idx="14">
                  <c:v>293359.13309999998</c:v>
                </c:pt>
                <c:pt idx="15">
                  <c:v>320125.12560000003</c:v>
                </c:pt>
                <c:pt idx="16">
                  <c:v>348624.09120000002</c:v>
                </c:pt>
                <c:pt idx="17">
                  <c:v>333202.80499999999</c:v>
                </c:pt>
                <c:pt idx="18">
                  <c:v>304709.18</c:v>
                </c:pt>
                <c:pt idx="19">
                  <c:v>304218.58559999999</c:v>
                </c:pt>
                <c:pt idx="20">
                  <c:v>299055.88679999998</c:v>
                </c:pt>
                <c:pt idx="21">
                  <c:v>295869.85470000003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sw.mobile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Data!$C$2:$C$23</c:f>
              <c:numCache>
                <c:formatCode>#,##0.00</c:formatCode>
                <c:ptCount val="22"/>
                <c:pt idx="0">
                  <c:v>295284.36286290002</c:v>
                </c:pt>
                <c:pt idx="1">
                  <c:v>197055.23447681998</c:v>
                </c:pt>
                <c:pt idx="2">
                  <c:v>260505.99876265001</c:v>
                </c:pt>
                <c:pt idx="3">
                  <c:v>279826.19406980003</c:v>
                </c:pt>
                <c:pt idx="4">
                  <c:v>251678.95238229999</c:v>
                </c:pt>
                <c:pt idx="5">
                  <c:v>371593.80218659999</c:v>
                </c:pt>
                <c:pt idx="6">
                  <c:v>286095.96782410005</c:v>
                </c:pt>
                <c:pt idx="7">
                  <c:v>257063.76982290001</c:v>
                </c:pt>
                <c:pt idx="8">
                  <c:v>274513.71659740002</c:v>
                </c:pt>
                <c:pt idx="9">
                  <c:v>254127.92570989998</c:v>
                </c:pt>
                <c:pt idx="10">
                  <c:v>327022.6801311</c:v>
                </c:pt>
                <c:pt idx="11">
                  <c:v>331366.11935869994</c:v>
                </c:pt>
                <c:pt idx="12">
                  <c:v>268941.59641499998</c:v>
                </c:pt>
                <c:pt idx="13">
                  <c:v>175841.41088238999</c:v>
                </c:pt>
                <c:pt idx="14">
                  <c:v>130795.87988495</c:v>
                </c:pt>
                <c:pt idx="15">
                  <c:v>260599.01670560002</c:v>
                </c:pt>
                <c:pt idx="16">
                  <c:v>352365.08524430002</c:v>
                </c:pt>
                <c:pt idx="17">
                  <c:v>169646.54900129998</c:v>
                </c:pt>
                <c:pt idx="18">
                  <c:v>177949.1586655</c:v>
                </c:pt>
                <c:pt idx="19">
                  <c:v>214245.30438400002</c:v>
                </c:pt>
                <c:pt idx="20">
                  <c:v>110057.10758761001</c:v>
                </c:pt>
                <c:pt idx="21">
                  <c:v>62666.554976120002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828824"/>
        <c:axId val="536830000"/>
      </c:lineChart>
      <c:catAx>
        <c:axId val="536828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30000"/>
        <c:crosses val="autoZero"/>
        <c:auto val="1"/>
        <c:lblAlgn val="ctr"/>
        <c:lblOffset val="100"/>
        <c:noMultiLvlLbl val="0"/>
      </c:catAx>
      <c:valAx>
        <c:axId val="53683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28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Desktop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ga.desktop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Data!$E$2:$E$23</c:f>
              <c:numCache>
                <c:formatCode>General</c:formatCode>
                <c:ptCount val="22"/>
                <c:pt idx="0">
                  <c:v>48463.128000000004</c:v>
                </c:pt>
                <c:pt idx="1">
                  <c:v>50224.575599999996</c:v>
                </c:pt>
                <c:pt idx="2">
                  <c:v>45944.456400000003</c:v>
                </c:pt>
                <c:pt idx="3">
                  <c:v>49860.3105</c:v>
                </c:pt>
                <c:pt idx="4">
                  <c:v>56491.786800000002</c:v>
                </c:pt>
                <c:pt idx="5">
                  <c:v>57268.842400000001</c:v>
                </c:pt>
                <c:pt idx="6">
                  <c:v>40458.892500000002</c:v>
                </c:pt>
                <c:pt idx="7">
                  <c:v>57593.446400000001</c:v>
                </c:pt>
                <c:pt idx="8">
                  <c:v>59572.267499999994</c:v>
                </c:pt>
                <c:pt idx="9">
                  <c:v>58099.917600000001</c:v>
                </c:pt>
                <c:pt idx="10">
                  <c:v>53508.951999999997</c:v>
                </c:pt>
                <c:pt idx="11">
                  <c:v>64899.379399999998</c:v>
                </c:pt>
                <c:pt idx="12">
                  <c:v>59243.189100000003</c:v>
                </c:pt>
                <c:pt idx="13">
                  <c:v>56636.361500000006</c:v>
                </c:pt>
                <c:pt idx="14">
                  <c:v>51809.866900000001</c:v>
                </c:pt>
                <c:pt idx="15">
                  <c:v>53590.874400000001</c:v>
                </c:pt>
                <c:pt idx="16">
                  <c:v>58551.908800000005</c:v>
                </c:pt>
                <c:pt idx="17">
                  <c:v>53972.195</c:v>
                </c:pt>
                <c:pt idx="18">
                  <c:v>49603.820000000007</c:v>
                </c:pt>
                <c:pt idx="19">
                  <c:v>51509.414400000001</c:v>
                </c:pt>
                <c:pt idx="20">
                  <c:v>50390.1132</c:v>
                </c:pt>
                <c:pt idx="21">
                  <c:v>45269.145300000004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Data!$B$1</c:f>
              <c:strCache>
                <c:ptCount val="1"/>
                <c:pt idx="0">
                  <c:v>sw.desktop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Data!$B$2:$B$23</c:f>
              <c:numCache>
                <c:formatCode>#,##0.00</c:formatCode>
                <c:ptCount val="22"/>
                <c:pt idx="0">
                  <c:v>24002.661961967471</c:v>
                </c:pt>
                <c:pt idx="1">
                  <c:v>30086.825105030486</c:v>
                </c:pt>
                <c:pt idx="2">
                  <c:v>29764.654346245352</c:v>
                </c:pt>
                <c:pt idx="3">
                  <c:v>29788.945912506482</c:v>
                </c:pt>
                <c:pt idx="4">
                  <c:v>37849.24556381334</c:v>
                </c:pt>
                <c:pt idx="5">
                  <c:v>32489.969929949162</c:v>
                </c:pt>
                <c:pt idx="6">
                  <c:v>26006.552401234385</c:v>
                </c:pt>
                <c:pt idx="7">
                  <c:v>26521.51327265189</c:v>
                </c:pt>
                <c:pt idx="8">
                  <c:v>30523.79080634379</c:v>
                </c:pt>
                <c:pt idx="9">
                  <c:v>30484.711803289792</c:v>
                </c:pt>
                <c:pt idx="10">
                  <c:v>28800.579265779961</c:v>
                </c:pt>
                <c:pt idx="11">
                  <c:v>30910.523612885321</c:v>
                </c:pt>
                <c:pt idx="12">
                  <c:v>32697.850626667168</c:v>
                </c:pt>
                <c:pt idx="13">
                  <c:v>30490.637788996508</c:v>
                </c:pt>
                <c:pt idx="14">
                  <c:v>29387.287548401604</c:v>
                </c:pt>
                <c:pt idx="15">
                  <c:v>35956.279058361397</c:v>
                </c:pt>
                <c:pt idx="16">
                  <c:v>35812.023751860754</c:v>
                </c:pt>
                <c:pt idx="17">
                  <c:v>30471.082173509665</c:v>
                </c:pt>
                <c:pt idx="18">
                  <c:v>29980.179604482644</c:v>
                </c:pt>
                <c:pt idx="19">
                  <c:v>31590.295385356381</c:v>
                </c:pt>
                <c:pt idx="20">
                  <c:v>33052.291422585324</c:v>
                </c:pt>
                <c:pt idx="21">
                  <c:v>19919.670906634383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459040"/>
        <c:axId val="540461000"/>
      </c:lineChart>
      <c:catAx>
        <c:axId val="540459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461000"/>
        <c:crosses val="autoZero"/>
        <c:auto val="1"/>
        <c:lblAlgn val="ctr"/>
        <c:lblOffset val="100"/>
        <c:noMultiLvlLbl val="0"/>
      </c:catAx>
      <c:valAx>
        <c:axId val="54046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45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Desktop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Data!$E$24:$E$45</c:f>
              <c:numCache>
                <c:formatCode>General</c:formatCode>
                <c:ptCount val="22"/>
                <c:pt idx="0">
                  <c:v>153486.0324</c:v>
                </c:pt>
                <c:pt idx="1">
                  <c:v>147819.12160000001</c:v>
                </c:pt>
                <c:pt idx="2">
                  <c:v>143211.09719999999</c:v>
                </c:pt>
                <c:pt idx="3">
                  <c:v>138783.47760000001</c:v>
                </c:pt>
                <c:pt idx="4">
                  <c:v>131967.78750000001</c:v>
                </c:pt>
                <c:pt idx="5">
                  <c:v>138397.42979999998</c:v>
                </c:pt>
                <c:pt idx="6">
                  <c:v>136703.4736</c:v>
                </c:pt>
                <c:pt idx="7">
                  <c:v>133057.92500000002</c:v>
                </c:pt>
                <c:pt idx="8">
                  <c:v>138668.45689999999</c:v>
                </c:pt>
                <c:pt idx="9">
                  <c:v>138901.66750000001</c:v>
                </c:pt>
                <c:pt idx="10">
                  <c:v>120374.39580000001</c:v>
                </c:pt>
                <c:pt idx="11">
                  <c:v>123862.9</c:v>
                </c:pt>
                <c:pt idx="12">
                  <c:v>118623.70109999999</c:v>
                </c:pt>
                <c:pt idx="13">
                  <c:v>127032.84</c:v>
                </c:pt>
                <c:pt idx="14">
                  <c:v>125530.69130000001</c:v>
                </c:pt>
                <c:pt idx="15">
                  <c:v>123482.7748</c:v>
                </c:pt>
                <c:pt idx="16">
                  <c:v>129088.39840000001</c:v>
                </c:pt>
                <c:pt idx="17">
                  <c:v>124071.6646</c:v>
                </c:pt>
                <c:pt idx="18">
                  <c:v>129502.1345</c:v>
                </c:pt>
                <c:pt idx="19">
                  <c:v>117441.26479999999</c:v>
                </c:pt>
                <c:pt idx="20">
                  <c:v>148038.15330000001</c:v>
                </c:pt>
                <c:pt idx="21">
                  <c:v>109666.03319999999</c:v>
                </c:pt>
              </c:numCache>
            </c:numRef>
          </c:val>
          <c:smooth val="0"/>
        </c:ser>
        <c:ser>
          <c:idx val="1"/>
          <c:order val="1"/>
          <c:tx>
            <c:v>sw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Data!$B$24:$B$45</c:f>
              <c:numCache>
                <c:formatCode>#,##0.00</c:formatCode>
                <c:ptCount val="22"/>
                <c:pt idx="0">
                  <c:v>171977.06177101904</c:v>
                </c:pt>
                <c:pt idx="1">
                  <c:v>129816.03816151773</c:v>
                </c:pt>
                <c:pt idx="2">
                  <c:v>134041.31549436302</c:v>
                </c:pt>
                <c:pt idx="3">
                  <c:v>136883.98097611725</c:v>
                </c:pt>
                <c:pt idx="4">
                  <c:v>126115.89431950852</c:v>
                </c:pt>
                <c:pt idx="5">
                  <c:v>128351.55763767281</c:v>
                </c:pt>
                <c:pt idx="6">
                  <c:v>118207.88868526743</c:v>
                </c:pt>
                <c:pt idx="7">
                  <c:v>109516.12417144504</c:v>
                </c:pt>
                <c:pt idx="8">
                  <c:v>136013.87098770347</c:v>
                </c:pt>
                <c:pt idx="9">
                  <c:v>125021.44840781917</c:v>
                </c:pt>
                <c:pt idx="10">
                  <c:v>100504.13955645935</c:v>
                </c:pt>
                <c:pt idx="11">
                  <c:v>112128.36471099923</c:v>
                </c:pt>
                <c:pt idx="12">
                  <c:v>109904.51796678413</c:v>
                </c:pt>
                <c:pt idx="13">
                  <c:v>120758.80790440275</c:v>
                </c:pt>
                <c:pt idx="14">
                  <c:v>144429.24707203236</c:v>
                </c:pt>
                <c:pt idx="15">
                  <c:v>133640.22657782293</c:v>
                </c:pt>
                <c:pt idx="16">
                  <c:v>132802.25274238619</c:v>
                </c:pt>
                <c:pt idx="17">
                  <c:v>135271.88076069983</c:v>
                </c:pt>
                <c:pt idx="18">
                  <c:v>148426.78304800566</c:v>
                </c:pt>
                <c:pt idx="19">
                  <c:v>117435.50617533945</c:v>
                </c:pt>
                <c:pt idx="20">
                  <c:v>127510.83204966979</c:v>
                </c:pt>
                <c:pt idx="21">
                  <c:v>76146.893348483078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30368"/>
        <c:axId val="384629192"/>
      </c:lineChart>
      <c:catAx>
        <c:axId val="3846303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29192"/>
        <c:crosses val="autoZero"/>
        <c:auto val="1"/>
        <c:lblAlgn val="ctr"/>
        <c:lblOffset val="100"/>
        <c:noMultiLvlLbl val="0"/>
      </c:catAx>
      <c:valAx>
        <c:axId val="38462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3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Desktop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Data!$E$24:$E$45</c:f>
              <c:numCache>
                <c:formatCode>General</c:formatCode>
                <c:ptCount val="22"/>
                <c:pt idx="0">
                  <c:v>153486.0324</c:v>
                </c:pt>
                <c:pt idx="1">
                  <c:v>147819.12160000001</c:v>
                </c:pt>
                <c:pt idx="2">
                  <c:v>143211.09719999999</c:v>
                </c:pt>
                <c:pt idx="3">
                  <c:v>138783.47760000001</c:v>
                </c:pt>
                <c:pt idx="4">
                  <c:v>131967.78750000001</c:v>
                </c:pt>
                <c:pt idx="5">
                  <c:v>138397.42979999998</c:v>
                </c:pt>
                <c:pt idx="6">
                  <c:v>136703.4736</c:v>
                </c:pt>
                <c:pt idx="7">
                  <c:v>133057.92500000002</c:v>
                </c:pt>
                <c:pt idx="8">
                  <c:v>138668.45689999999</c:v>
                </c:pt>
                <c:pt idx="9">
                  <c:v>138901.66750000001</c:v>
                </c:pt>
                <c:pt idx="10">
                  <c:v>120374.39580000001</c:v>
                </c:pt>
                <c:pt idx="11">
                  <c:v>123862.9</c:v>
                </c:pt>
                <c:pt idx="12">
                  <c:v>118623.70109999999</c:v>
                </c:pt>
                <c:pt idx="13">
                  <c:v>127032.84</c:v>
                </c:pt>
                <c:pt idx="14">
                  <c:v>125530.69130000001</c:v>
                </c:pt>
                <c:pt idx="15">
                  <c:v>123482.7748</c:v>
                </c:pt>
                <c:pt idx="16">
                  <c:v>129088.39840000001</c:v>
                </c:pt>
                <c:pt idx="17">
                  <c:v>124071.6646</c:v>
                </c:pt>
                <c:pt idx="18">
                  <c:v>129502.1345</c:v>
                </c:pt>
                <c:pt idx="19">
                  <c:v>117441.26479999999</c:v>
                </c:pt>
                <c:pt idx="20">
                  <c:v>148038.15330000001</c:v>
                </c:pt>
                <c:pt idx="21">
                  <c:v>109666.03319999999</c:v>
                </c:pt>
              </c:numCache>
            </c:numRef>
          </c:val>
          <c:smooth val="0"/>
        </c:ser>
        <c:ser>
          <c:idx val="1"/>
          <c:order val="1"/>
          <c:tx>
            <c:v>sw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Data!$B$24:$B$45</c:f>
              <c:numCache>
                <c:formatCode>#,##0.00</c:formatCode>
                <c:ptCount val="22"/>
                <c:pt idx="0">
                  <c:v>171977.06177101904</c:v>
                </c:pt>
                <c:pt idx="1">
                  <c:v>129816.03816151773</c:v>
                </c:pt>
                <c:pt idx="2">
                  <c:v>134041.31549436302</c:v>
                </c:pt>
                <c:pt idx="3">
                  <c:v>136883.98097611725</c:v>
                </c:pt>
                <c:pt idx="4">
                  <c:v>126115.89431950852</c:v>
                </c:pt>
                <c:pt idx="5">
                  <c:v>128351.55763767281</c:v>
                </c:pt>
                <c:pt idx="6">
                  <c:v>118207.88868526743</c:v>
                </c:pt>
                <c:pt idx="7">
                  <c:v>109516.12417144504</c:v>
                </c:pt>
                <c:pt idx="8">
                  <c:v>136013.87098770347</c:v>
                </c:pt>
                <c:pt idx="9">
                  <c:v>125021.44840781917</c:v>
                </c:pt>
                <c:pt idx="10">
                  <c:v>100504.13955645935</c:v>
                </c:pt>
                <c:pt idx="11">
                  <c:v>112128.36471099923</c:v>
                </c:pt>
                <c:pt idx="12">
                  <c:v>109904.51796678413</c:v>
                </c:pt>
                <c:pt idx="13">
                  <c:v>120758.80790440275</c:v>
                </c:pt>
                <c:pt idx="14">
                  <c:v>144429.24707203236</c:v>
                </c:pt>
                <c:pt idx="15">
                  <c:v>133640.22657782293</c:v>
                </c:pt>
                <c:pt idx="16">
                  <c:v>132802.25274238619</c:v>
                </c:pt>
                <c:pt idx="17">
                  <c:v>135271.88076069983</c:v>
                </c:pt>
                <c:pt idx="18">
                  <c:v>148426.78304800566</c:v>
                </c:pt>
                <c:pt idx="19">
                  <c:v>117435.50617533945</c:v>
                </c:pt>
                <c:pt idx="20">
                  <c:v>127510.83204966979</c:v>
                </c:pt>
                <c:pt idx="21">
                  <c:v>76146.893348483078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750240"/>
        <c:axId val="540749456"/>
      </c:lineChart>
      <c:catAx>
        <c:axId val="540750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749456"/>
        <c:crosses val="autoZero"/>
        <c:auto val="1"/>
        <c:lblAlgn val="ctr"/>
        <c:lblOffset val="100"/>
        <c:noMultiLvlLbl val="0"/>
      </c:catAx>
      <c:valAx>
        <c:axId val="54074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75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Zavvi.com</a:t>
            </a:r>
            <a:r>
              <a:rPr lang="en-US" baseline="0"/>
              <a:t> - Mobile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Sheet2!$M$76</c:f>
              <c:strCache>
                <c:ptCount val="1"/>
                <c:pt idx="0">
                  <c:v>ga.mobile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Sheet2!$M$77:$M$81</c:f>
              <c:numCache>
                <c:formatCode>#,##0.00</c:formatCode>
                <c:ptCount val="5"/>
                <c:pt idx="0" formatCode="General">
                  <c:v>1024805.2712</c:v>
                </c:pt>
                <c:pt idx="1">
                  <c:v>1084259.9271999998</c:v>
                </c:pt>
                <c:pt idx="2">
                  <c:v>812266.33559999987</c:v>
                </c:pt>
                <c:pt idx="3">
                  <c:v>901666.29550000001</c:v>
                </c:pt>
                <c:pt idx="4">
                  <c:v>1322476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Sheet2!$N$76</c:f>
              <c:strCache>
                <c:ptCount val="1"/>
                <c:pt idx="0">
                  <c:v>sw.mobile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Sheet2!$N$77:$N$81</c:f>
              <c:numCache>
                <c:formatCode>#,##0.00</c:formatCode>
                <c:ptCount val="5"/>
                <c:pt idx="0">
                  <c:v>421946.31706324912</c:v>
                </c:pt>
                <c:pt idx="1">
                  <c:v>801138.73633300164</c:v>
                </c:pt>
                <c:pt idx="2">
                  <c:v>510378.14248828613</c:v>
                </c:pt>
                <c:pt idx="3">
                  <c:v>338737.17448732338</c:v>
                </c:pt>
                <c:pt idx="4">
                  <c:v>509504.43870804401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Sheet2!$O$76</c:f>
              <c:strCache>
                <c:ptCount val="1"/>
                <c:pt idx="0">
                  <c:v>sw.ww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Sheet2!$O$77:$O$81</c:f>
              <c:numCache>
                <c:formatCode>General</c:formatCode>
                <c:ptCount val="5"/>
                <c:pt idx="0">
                  <c:v>1393000</c:v>
                </c:pt>
                <c:pt idx="1">
                  <c:v>1279000</c:v>
                </c:pt>
                <c:pt idx="2">
                  <c:v>1204000</c:v>
                </c:pt>
                <c:pt idx="3">
                  <c:v>1111000</c:v>
                </c:pt>
                <c:pt idx="4">
                  <c:v>1618000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459824"/>
        <c:axId val="540462568"/>
      </c:lineChart>
      <c:catAx>
        <c:axId val="540459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462568"/>
        <c:crosses val="autoZero"/>
        <c:auto val="1"/>
        <c:lblAlgn val="ctr"/>
        <c:lblOffset val="100"/>
        <c:noMultiLvlLbl val="0"/>
      </c:catAx>
      <c:valAx>
        <c:axId val="54046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45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26</xdr:row>
      <xdr:rowOff>0</xdr:rowOff>
    </xdr:from>
    <xdr:to>
      <xdr:col>6</xdr:col>
      <xdr:colOff>476250</xdr:colOff>
      <xdr:row>40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50</xdr:row>
      <xdr:rowOff>152400</xdr:rowOff>
    </xdr:from>
    <xdr:to>
      <xdr:col>6</xdr:col>
      <xdr:colOff>409575</xdr:colOff>
      <xdr:row>65</xdr:row>
      <xdr:rowOff>38100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90</xdr:row>
      <xdr:rowOff>123825</xdr:rowOff>
    </xdr:from>
    <xdr:to>
      <xdr:col>6</xdr:col>
      <xdr:colOff>381000</xdr:colOff>
      <xdr:row>105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180975</xdr:colOff>
      <xdr:row>74</xdr:row>
      <xdr:rowOff>171450</xdr:rowOff>
    </xdr:from>
    <xdr:to>
      <xdr:col>6</xdr:col>
      <xdr:colOff>495300</xdr:colOff>
      <xdr:row>89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113</xdr:row>
      <xdr:rowOff>0</xdr:rowOff>
    </xdr:from>
    <xdr:to>
      <xdr:col>6</xdr:col>
      <xdr:colOff>314325</xdr:colOff>
      <xdr:row>127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128</xdr:row>
      <xdr:rowOff>0</xdr:rowOff>
    </xdr:from>
    <xdr:to>
      <xdr:col>6</xdr:col>
      <xdr:colOff>314325</xdr:colOff>
      <xdr:row>142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148</xdr:row>
      <xdr:rowOff>0</xdr:rowOff>
    </xdr:from>
    <xdr:to>
      <xdr:col>6</xdr:col>
      <xdr:colOff>314325</xdr:colOff>
      <xdr:row>162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481012</xdr:colOff>
      <xdr:row>33</xdr:row>
      <xdr:rowOff>109537</xdr:rowOff>
    </xdr:from>
    <xdr:to>
      <xdr:col>19</xdr:col>
      <xdr:colOff>328612</xdr:colOff>
      <xdr:row>47</xdr:row>
      <xdr:rowOff>185737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1238250</xdr:colOff>
      <xdr:row>82</xdr:row>
      <xdr:rowOff>176212</xdr:rowOff>
    </xdr:from>
    <xdr:to>
      <xdr:col>15</xdr:col>
      <xdr:colOff>628650</xdr:colOff>
      <xdr:row>97</xdr:row>
      <xdr:rowOff>61912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de.myprotein.com/" TargetMode="External"/><Relationship Id="rId1" Type="http://schemas.openxmlformats.org/officeDocument/2006/relationships/hyperlink" Target="http://fr.myprotein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de.myprotein.com/" TargetMode="External"/><Relationship Id="rId13" Type="http://schemas.openxmlformats.org/officeDocument/2006/relationships/hyperlink" Target="http://de.myprotein.com/" TargetMode="External"/><Relationship Id="rId18" Type="http://schemas.openxmlformats.org/officeDocument/2006/relationships/hyperlink" Target="http://de.myprotein.com/" TargetMode="External"/><Relationship Id="rId26" Type="http://schemas.openxmlformats.org/officeDocument/2006/relationships/hyperlink" Target="http://fr.myprotein.com/" TargetMode="External"/><Relationship Id="rId39" Type="http://schemas.openxmlformats.org/officeDocument/2006/relationships/hyperlink" Target="http://fr.myprotein.com/" TargetMode="External"/><Relationship Id="rId3" Type="http://schemas.openxmlformats.org/officeDocument/2006/relationships/hyperlink" Target="http://de.myprotein.com/" TargetMode="External"/><Relationship Id="rId21" Type="http://schemas.openxmlformats.org/officeDocument/2006/relationships/hyperlink" Target="http://de.myprotein.com/" TargetMode="External"/><Relationship Id="rId34" Type="http://schemas.openxmlformats.org/officeDocument/2006/relationships/hyperlink" Target="http://fr.myprotein.com/" TargetMode="External"/><Relationship Id="rId42" Type="http://schemas.openxmlformats.org/officeDocument/2006/relationships/hyperlink" Target="http://fr.myprotein.com/" TargetMode="External"/><Relationship Id="rId7" Type="http://schemas.openxmlformats.org/officeDocument/2006/relationships/hyperlink" Target="http://de.myprotein.com/" TargetMode="External"/><Relationship Id="rId12" Type="http://schemas.openxmlformats.org/officeDocument/2006/relationships/hyperlink" Target="http://de.myprotein.com/" TargetMode="External"/><Relationship Id="rId17" Type="http://schemas.openxmlformats.org/officeDocument/2006/relationships/hyperlink" Target="http://de.myprotein.com/" TargetMode="External"/><Relationship Id="rId25" Type="http://schemas.openxmlformats.org/officeDocument/2006/relationships/hyperlink" Target="http://fr.myprotein.com/" TargetMode="External"/><Relationship Id="rId33" Type="http://schemas.openxmlformats.org/officeDocument/2006/relationships/hyperlink" Target="http://fr.myprotein.com/" TargetMode="External"/><Relationship Id="rId38" Type="http://schemas.openxmlformats.org/officeDocument/2006/relationships/hyperlink" Target="http://fr.myprotein.com/" TargetMode="External"/><Relationship Id="rId46" Type="http://schemas.openxmlformats.org/officeDocument/2006/relationships/drawing" Target="../drawings/drawing2.xml"/><Relationship Id="rId2" Type="http://schemas.openxmlformats.org/officeDocument/2006/relationships/hyperlink" Target="http://de.myprotein.com/" TargetMode="External"/><Relationship Id="rId16" Type="http://schemas.openxmlformats.org/officeDocument/2006/relationships/hyperlink" Target="http://de.myprotein.com/" TargetMode="External"/><Relationship Id="rId20" Type="http://schemas.openxmlformats.org/officeDocument/2006/relationships/hyperlink" Target="http://de.myprotein.com/" TargetMode="External"/><Relationship Id="rId29" Type="http://schemas.openxmlformats.org/officeDocument/2006/relationships/hyperlink" Target="http://fr.myprotein.com/" TargetMode="External"/><Relationship Id="rId41" Type="http://schemas.openxmlformats.org/officeDocument/2006/relationships/hyperlink" Target="http://fr.myprotein.com/" TargetMode="External"/><Relationship Id="rId1" Type="http://schemas.openxmlformats.org/officeDocument/2006/relationships/hyperlink" Target="http://de.myprotein.com/" TargetMode="External"/><Relationship Id="rId6" Type="http://schemas.openxmlformats.org/officeDocument/2006/relationships/hyperlink" Target="http://de.myprotein.com/" TargetMode="External"/><Relationship Id="rId11" Type="http://schemas.openxmlformats.org/officeDocument/2006/relationships/hyperlink" Target="http://de.myprotein.com/" TargetMode="External"/><Relationship Id="rId24" Type="http://schemas.openxmlformats.org/officeDocument/2006/relationships/hyperlink" Target="http://fr.myprotein.com/" TargetMode="External"/><Relationship Id="rId32" Type="http://schemas.openxmlformats.org/officeDocument/2006/relationships/hyperlink" Target="http://fr.myprotein.com/" TargetMode="External"/><Relationship Id="rId37" Type="http://schemas.openxmlformats.org/officeDocument/2006/relationships/hyperlink" Target="http://fr.myprotein.com/" TargetMode="External"/><Relationship Id="rId40" Type="http://schemas.openxmlformats.org/officeDocument/2006/relationships/hyperlink" Target="http://fr.myprotein.com/" TargetMode="External"/><Relationship Id="rId45" Type="http://schemas.openxmlformats.org/officeDocument/2006/relationships/printerSettings" Target="../printerSettings/printerSettings1.bin"/><Relationship Id="rId5" Type="http://schemas.openxmlformats.org/officeDocument/2006/relationships/hyperlink" Target="http://de.myprotein.com/" TargetMode="External"/><Relationship Id="rId15" Type="http://schemas.openxmlformats.org/officeDocument/2006/relationships/hyperlink" Target="http://de.myprotein.com/" TargetMode="External"/><Relationship Id="rId23" Type="http://schemas.openxmlformats.org/officeDocument/2006/relationships/hyperlink" Target="http://fr.myprotein.com/" TargetMode="External"/><Relationship Id="rId28" Type="http://schemas.openxmlformats.org/officeDocument/2006/relationships/hyperlink" Target="http://fr.myprotein.com/" TargetMode="External"/><Relationship Id="rId36" Type="http://schemas.openxmlformats.org/officeDocument/2006/relationships/hyperlink" Target="http://fr.myprotein.com/" TargetMode="External"/><Relationship Id="rId10" Type="http://schemas.openxmlformats.org/officeDocument/2006/relationships/hyperlink" Target="http://de.myprotein.com/" TargetMode="External"/><Relationship Id="rId19" Type="http://schemas.openxmlformats.org/officeDocument/2006/relationships/hyperlink" Target="http://de.myprotein.com/" TargetMode="External"/><Relationship Id="rId31" Type="http://schemas.openxmlformats.org/officeDocument/2006/relationships/hyperlink" Target="http://fr.myprotein.com/" TargetMode="External"/><Relationship Id="rId44" Type="http://schemas.openxmlformats.org/officeDocument/2006/relationships/hyperlink" Target="http://fr.myprotein.com/" TargetMode="External"/><Relationship Id="rId4" Type="http://schemas.openxmlformats.org/officeDocument/2006/relationships/hyperlink" Target="http://de.myprotein.com/" TargetMode="External"/><Relationship Id="rId9" Type="http://schemas.openxmlformats.org/officeDocument/2006/relationships/hyperlink" Target="http://de.myprotein.com/" TargetMode="External"/><Relationship Id="rId14" Type="http://schemas.openxmlformats.org/officeDocument/2006/relationships/hyperlink" Target="http://de.myprotein.com/" TargetMode="External"/><Relationship Id="rId22" Type="http://schemas.openxmlformats.org/officeDocument/2006/relationships/hyperlink" Target="http://de.myprotein.com/" TargetMode="External"/><Relationship Id="rId27" Type="http://schemas.openxmlformats.org/officeDocument/2006/relationships/hyperlink" Target="http://fr.myprotein.com/" TargetMode="External"/><Relationship Id="rId30" Type="http://schemas.openxmlformats.org/officeDocument/2006/relationships/hyperlink" Target="http://fr.myprotein.com/" TargetMode="External"/><Relationship Id="rId35" Type="http://schemas.openxmlformats.org/officeDocument/2006/relationships/hyperlink" Target="http://fr.myprotein.com/" TargetMode="External"/><Relationship Id="rId43" Type="http://schemas.openxmlformats.org/officeDocument/2006/relationships/hyperlink" Target="http://fr.myprotein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r.myprotein.com/" TargetMode="External"/><Relationship Id="rId13" Type="http://schemas.openxmlformats.org/officeDocument/2006/relationships/hyperlink" Target="http://fr.myprotein.com/" TargetMode="External"/><Relationship Id="rId18" Type="http://schemas.openxmlformats.org/officeDocument/2006/relationships/hyperlink" Target="http://fr.myprotein.com/" TargetMode="External"/><Relationship Id="rId3" Type="http://schemas.openxmlformats.org/officeDocument/2006/relationships/hyperlink" Target="http://fr.myprotein.com/" TargetMode="External"/><Relationship Id="rId21" Type="http://schemas.openxmlformats.org/officeDocument/2006/relationships/hyperlink" Target="http://fr.myprotein.com/" TargetMode="External"/><Relationship Id="rId7" Type="http://schemas.openxmlformats.org/officeDocument/2006/relationships/hyperlink" Target="http://fr.myprotein.com/" TargetMode="External"/><Relationship Id="rId12" Type="http://schemas.openxmlformats.org/officeDocument/2006/relationships/hyperlink" Target="http://fr.myprotein.com/" TargetMode="External"/><Relationship Id="rId17" Type="http://schemas.openxmlformats.org/officeDocument/2006/relationships/hyperlink" Target="http://fr.myprotein.com/" TargetMode="External"/><Relationship Id="rId25" Type="http://schemas.openxmlformats.org/officeDocument/2006/relationships/drawing" Target="../drawings/drawing3.xml"/><Relationship Id="rId2" Type="http://schemas.openxmlformats.org/officeDocument/2006/relationships/hyperlink" Target="http://fr.myprotein.com/" TargetMode="External"/><Relationship Id="rId16" Type="http://schemas.openxmlformats.org/officeDocument/2006/relationships/hyperlink" Target="http://fr.myprotein.com/" TargetMode="External"/><Relationship Id="rId20" Type="http://schemas.openxmlformats.org/officeDocument/2006/relationships/hyperlink" Target="http://fr.myprotein.com/" TargetMode="External"/><Relationship Id="rId1" Type="http://schemas.openxmlformats.org/officeDocument/2006/relationships/hyperlink" Target="http://fr.myprotein.com/" TargetMode="External"/><Relationship Id="rId6" Type="http://schemas.openxmlformats.org/officeDocument/2006/relationships/hyperlink" Target="http://fr.myprotein.com/" TargetMode="External"/><Relationship Id="rId11" Type="http://schemas.openxmlformats.org/officeDocument/2006/relationships/hyperlink" Target="http://fr.myprotein.com/" TargetMode="External"/><Relationship Id="rId24" Type="http://schemas.openxmlformats.org/officeDocument/2006/relationships/printerSettings" Target="../printerSettings/printerSettings2.bin"/><Relationship Id="rId5" Type="http://schemas.openxmlformats.org/officeDocument/2006/relationships/hyperlink" Target="http://fr.myprotein.com/" TargetMode="External"/><Relationship Id="rId15" Type="http://schemas.openxmlformats.org/officeDocument/2006/relationships/hyperlink" Target="http://fr.myprotein.com/" TargetMode="External"/><Relationship Id="rId23" Type="http://schemas.openxmlformats.org/officeDocument/2006/relationships/hyperlink" Target="http://fr.myprotein.com/" TargetMode="External"/><Relationship Id="rId10" Type="http://schemas.openxmlformats.org/officeDocument/2006/relationships/hyperlink" Target="http://fr.myprotein.com/" TargetMode="External"/><Relationship Id="rId19" Type="http://schemas.openxmlformats.org/officeDocument/2006/relationships/hyperlink" Target="http://fr.myprotein.com/" TargetMode="External"/><Relationship Id="rId4" Type="http://schemas.openxmlformats.org/officeDocument/2006/relationships/hyperlink" Target="http://fr.myprotein.com/" TargetMode="External"/><Relationship Id="rId9" Type="http://schemas.openxmlformats.org/officeDocument/2006/relationships/hyperlink" Target="http://fr.myprotein.com/" TargetMode="External"/><Relationship Id="rId14" Type="http://schemas.openxmlformats.org/officeDocument/2006/relationships/hyperlink" Target="http://fr.myprotein.com/" TargetMode="External"/><Relationship Id="rId22" Type="http://schemas.openxmlformats.org/officeDocument/2006/relationships/hyperlink" Target="http://fr.myprotein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47"/>
  <sheetViews>
    <sheetView topLeftCell="A145" workbookViewId="0">
      <selection activeCell="A145" sqref="A145"/>
    </sheetView>
  </sheetViews>
  <sheetFormatPr defaultColWidth="8.85546875" defaultRowHeight="15" x14ac:dyDescent="0.25"/>
  <cols>
    <col min="1" max="1" width="12.140625" bestFit="1" customWidth="1"/>
    <col min="2" max="2" width="6.7109375" bestFit="1" customWidth="1"/>
    <col min="3" max="3" width="10.7109375" bestFit="1" customWidth="1"/>
    <col min="4" max="4" width="13.7109375" bestFit="1" customWidth="1"/>
    <col min="5" max="5" width="11.28515625" bestFit="1" customWidth="1"/>
    <col min="6" max="6" width="9.28515625" bestFit="1" customWidth="1"/>
    <col min="7" max="7" width="12.42578125" bestFit="1" customWidth="1"/>
  </cols>
  <sheetData>
    <row r="1" spans="1:8" x14ac:dyDescent="0.25">
      <c r="A1" s="6" t="s">
        <v>6</v>
      </c>
      <c r="B1" s="6" t="s">
        <v>4</v>
      </c>
      <c r="C1" s="6" t="s">
        <v>0</v>
      </c>
      <c r="D1" s="6" t="s">
        <v>1</v>
      </c>
      <c r="E1" s="6" t="s">
        <v>5</v>
      </c>
      <c r="F1" s="6" t="s">
        <v>2</v>
      </c>
      <c r="G1" s="6" t="s">
        <v>3</v>
      </c>
    </row>
    <row r="2" spans="1:8" x14ac:dyDescent="0.25">
      <c r="A2" s="1" t="s">
        <v>7</v>
      </c>
      <c r="B2" s="2">
        <v>0.38197557031697826</v>
      </c>
      <c r="C2" s="2">
        <v>0.98498211237321787</v>
      </c>
      <c r="D2" s="1" t="s">
        <v>13</v>
      </c>
      <c r="E2" s="2">
        <v>0.15597553982024404</v>
      </c>
      <c r="F2" s="2">
        <v>-4.677648697027903E-2</v>
      </c>
      <c r="G2" s="2">
        <v>0.59909612317502359</v>
      </c>
      <c r="H2" s="5"/>
    </row>
    <row r="3" spans="1:8" x14ac:dyDescent="0.25">
      <c r="A3" s="1" t="s">
        <v>8</v>
      </c>
      <c r="B3" s="2">
        <v>-0.2334542632423966</v>
      </c>
      <c r="C3" s="2">
        <v>0.99179587299545324</v>
      </c>
      <c r="D3" s="2">
        <v>0.23741643081117259</v>
      </c>
      <c r="E3" s="2">
        <v>0.17674975161269391</v>
      </c>
      <c r="F3" s="2">
        <v>5.820070705199698E-2</v>
      </c>
      <c r="G3" s="2">
        <v>-0.11465042021186445</v>
      </c>
      <c r="H3" s="5"/>
    </row>
    <row r="4" spans="1:8" x14ac:dyDescent="0.25">
      <c r="A4" s="1" t="s">
        <v>9</v>
      </c>
      <c r="B4" s="2">
        <v>-0.2224293634153558</v>
      </c>
      <c r="C4" s="2">
        <v>0.45268322678129946</v>
      </c>
      <c r="D4" s="2">
        <v>0.59991604617255434</v>
      </c>
      <c r="E4" s="2">
        <v>0.22010383314579296</v>
      </c>
      <c r="F4" s="2">
        <v>-8.9442446800290232E-2</v>
      </c>
      <c r="G4" s="2">
        <v>-5.938381410298077E-2</v>
      </c>
      <c r="H4" s="5"/>
    </row>
    <row r="5" spans="1:8" x14ac:dyDescent="0.25">
      <c r="A5" s="1" t="s">
        <v>10</v>
      </c>
      <c r="B5" s="2">
        <v>-0.70379857620781361</v>
      </c>
      <c r="C5" s="2">
        <v>0.33004460189805362</v>
      </c>
      <c r="D5" s="2">
        <v>0.47917275294781669</v>
      </c>
      <c r="E5" s="2">
        <v>0.19106428695342847</v>
      </c>
      <c r="F5" s="2">
        <v>1.1182008449281744E-2</v>
      </c>
      <c r="G5" s="2">
        <v>-0.64975223304292484</v>
      </c>
      <c r="H5" s="5"/>
    </row>
    <row r="6" spans="1:8" x14ac:dyDescent="0.25">
      <c r="A6" s="1" t="s">
        <v>11</v>
      </c>
      <c r="B6" s="2">
        <v>-0.35583722682840191</v>
      </c>
      <c r="C6" s="2">
        <v>0.50279065252736066</v>
      </c>
      <c r="D6" s="2">
        <v>0.32565011820330958</v>
      </c>
      <c r="E6" s="2">
        <v>0.17880716643092898</v>
      </c>
      <c r="F6" s="2">
        <v>-4.6977214366220155E-2</v>
      </c>
      <c r="G6" s="2">
        <v>-0.22281593763889285</v>
      </c>
      <c r="H6" s="5"/>
    </row>
    <row r="7" spans="1:8" x14ac:dyDescent="0.25">
      <c r="A7" s="1" t="s">
        <v>12</v>
      </c>
      <c r="B7" s="2">
        <v>-0.63941746142464817</v>
      </c>
      <c r="C7" s="2">
        <v>0.46179698216735177</v>
      </c>
      <c r="D7" s="2">
        <v>0.5329527763362738</v>
      </c>
      <c r="E7" s="2">
        <v>1.9449617214980286E-2</v>
      </c>
      <c r="F7" s="2">
        <v>9.8289967216987906E-2</v>
      </c>
      <c r="G7" s="2">
        <v>-0.63953476838585543</v>
      </c>
      <c r="H7" s="5"/>
    </row>
    <row r="8" spans="1:8" x14ac:dyDescent="0.25">
      <c r="A8" s="3"/>
      <c r="B8" s="4"/>
      <c r="C8" s="4"/>
      <c r="D8" s="4"/>
      <c r="E8" s="4"/>
      <c r="F8" s="4"/>
      <c r="G8" s="4"/>
      <c r="H8" s="5"/>
    </row>
    <row r="9" spans="1:8" x14ac:dyDescent="0.25">
      <c r="A9" s="3"/>
      <c r="B9" s="4"/>
      <c r="C9" s="4"/>
      <c r="D9" s="4"/>
      <c r="E9" s="4"/>
      <c r="F9" s="4"/>
      <c r="G9" s="4"/>
      <c r="H9" s="5"/>
    </row>
    <row r="10" spans="1:8" x14ac:dyDescent="0.25">
      <c r="A10" s="7" t="s">
        <v>19</v>
      </c>
      <c r="B10" s="4"/>
      <c r="C10" s="4"/>
      <c r="D10" s="4"/>
      <c r="E10" s="4"/>
      <c r="F10" s="4"/>
      <c r="G10" s="4"/>
      <c r="H10" s="5"/>
    </row>
    <row r="11" spans="1:8" x14ac:dyDescent="0.25">
      <c r="A11" s="7" t="s">
        <v>20</v>
      </c>
      <c r="B11" s="4"/>
      <c r="C11" s="4"/>
      <c r="D11" s="4"/>
      <c r="E11" s="4"/>
      <c r="F11" s="4"/>
      <c r="G11" s="4"/>
      <c r="H11" s="5"/>
    </row>
    <row r="12" spans="1:8" x14ac:dyDescent="0.25">
      <c r="A12" s="8" t="s">
        <v>21</v>
      </c>
      <c r="B12" s="4"/>
      <c r="C12" s="4"/>
      <c r="D12" s="4"/>
      <c r="E12" s="4"/>
      <c r="F12" s="4"/>
      <c r="G12" s="4"/>
      <c r="H12" s="5"/>
    </row>
    <row r="13" spans="1:8" x14ac:dyDescent="0.25">
      <c r="A13" s="8" t="s">
        <v>22</v>
      </c>
      <c r="B13" s="4"/>
      <c r="C13" s="4"/>
      <c r="D13" s="4"/>
      <c r="E13" s="4"/>
      <c r="F13" s="4"/>
      <c r="G13" s="4"/>
      <c r="H13" s="5"/>
    </row>
    <row r="14" spans="1:8" x14ac:dyDescent="0.25">
      <c r="A14" s="8" t="s">
        <v>23</v>
      </c>
      <c r="B14" s="3"/>
      <c r="C14" s="3"/>
      <c r="D14" s="3"/>
      <c r="E14" s="3"/>
      <c r="F14" s="3"/>
      <c r="G14" s="3"/>
    </row>
    <row r="15" spans="1:8" x14ac:dyDescent="0.25">
      <c r="A15" s="8" t="s">
        <v>24</v>
      </c>
      <c r="B15" s="3"/>
      <c r="C15" s="3"/>
      <c r="D15" s="3"/>
      <c r="E15" s="3"/>
      <c r="F15" s="3"/>
      <c r="G15" s="3"/>
    </row>
    <row r="16" spans="1:8" x14ac:dyDescent="0.25">
      <c r="A16" s="3"/>
      <c r="B16" s="3"/>
      <c r="C16" s="3"/>
      <c r="D16" s="3"/>
      <c r="E16" s="3"/>
      <c r="F16" s="3"/>
      <c r="G16" s="3"/>
    </row>
    <row r="17" spans="1:7" x14ac:dyDescent="0.25">
      <c r="A17" s="3"/>
      <c r="B17" s="3"/>
      <c r="C17" s="3"/>
      <c r="D17" s="3"/>
      <c r="E17" s="3"/>
      <c r="F17" s="3"/>
      <c r="G17" s="3"/>
    </row>
    <row r="18" spans="1:7" x14ac:dyDescent="0.25">
      <c r="A18" s="3"/>
      <c r="B18" s="3"/>
      <c r="C18" s="3"/>
      <c r="D18" s="3"/>
      <c r="E18" s="3"/>
      <c r="F18" s="3"/>
      <c r="G18" s="3"/>
    </row>
    <row r="19" spans="1:7" x14ac:dyDescent="0.25">
      <c r="A19" s="3"/>
      <c r="B19" s="3"/>
      <c r="C19" s="3"/>
      <c r="D19" s="3"/>
      <c r="E19" s="3"/>
      <c r="F19" s="3"/>
      <c r="G19" s="3"/>
    </row>
    <row r="20" spans="1:7" x14ac:dyDescent="0.25">
      <c r="A20" s="3"/>
      <c r="B20" s="3"/>
      <c r="C20" s="3"/>
      <c r="D20" s="3"/>
      <c r="E20" s="3"/>
      <c r="F20" s="3"/>
      <c r="G20" s="3"/>
    </row>
    <row r="21" spans="1:7" x14ac:dyDescent="0.25">
      <c r="A21" s="3" t="s">
        <v>61</v>
      </c>
      <c r="B21" s="3"/>
      <c r="C21" s="3" t="s">
        <v>59</v>
      </c>
      <c r="D21" s="3"/>
      <c r="E21" s="3"/>
      <c r="F21" s="3"/>
      <c r="G21" s="3"/>
    </row>
    <row r="22" spans="1:7" x14ac:dyDescent="0.25">
      <c r="A22" s="3"/>
      <c r="B22" s="3"/>
      <c r="C22" s="3"/>
      <c r="D22" s="3"/>
      <c r="E22" s="3"/>
      <c r="F22" s="3"/>
      <c r="G22" s="3"/>
    </row>
    <row r="23" spans="1:7" x14ac:dyDescent="0.25">
      <c r="A23" t="s">
        <v>62</v>
      </c>
    </row>
    <row r="24" spans="1:7" x14ac:dyDescent="0.25">
      <c r="A24" t="s">
        <v>63</v>
      </c>
    </row>
    <row r="25" spans="1:7" x14ac:dyDescent="0.25">
      <c r="A25" s="3" t="s">
        <v>64</v>
      </c>
    </row>
    <row r="43" spans="1:3" x14ac:dyDescent="0.25">
      <c r="C43" t="s">
        <v>60</v>
      </c>
    </row>
    <row r="45" spans="1:3" x14ac:dyDescent="0.25">
      <c r="A45" t="s">
        <v>64</v>
      </c>
    </row>
    <row r="46" spans="1:3" x14ac:dyDescent="0.25">
      <c r="A46" t="s">
        <v>66</v>
      </c>
    </row>
    <row r="47" spans="1:3" x14ac:dyDescent="0.25">
      <c r="A47" t="s">
        <v>67</v>
      </c>
    </row>
    <row r="48" spans="1:3" x14ac:dyDescent="0.25">
      <c r="A48" t="s">
        <v>68</v>
      </c>
    </row>
    <row r="68" spans="1:1" x14ac:dyDescent="0.25">
      <c r="A68" t="s">
        <v>69</v>
      </c>
    </row>
    <row r="72" spans="1:1" x14ac:dyDescent="0.25">
      <c r="A72" t="s">
        <v>70</v>
      </c>
    </row>
    <row r="73" spans="1:1" x14ac:dyDescent="0.25">
      <c r="A73" t="s">
        <v>71</v>
      </c>
    </row>
    <row r="74" spans="1:1" x14ac:dyDescent="0.25">
      <c r="A74" t="s">
        <v>59</v>
      </c>
    </row>
    <row r="108" spans="1:1" x14ac:dyDescent="0.25">
      <c r="A108" t="s">
        <v>72</v>
      </c>
    </row>
    <row r="110" spans="1:1" x14ac:dyDescent="0.25">
      <c r="A110" t="s">
        <v>73</v>
      </c>
    </row>
    <row r="111" spans="1:1" x14ac:dyDescent="0.25">
      <c r="A111" t="s">
        <v>75</v>
      </c>
    </row>
    <row r="112" spans="1:1" x14ac:dyDescent="0.25">
      <c r="A112" t="s">
        <v>74</v>
      </c>
    </row>
    <row r="145" spans="1:1" x14ac:dyDescent="0.25">
      <c r="A145" t="s">
        <v>76</v>
      </c>
    </row>
    <row r="147" spans="1:1" x14ac:dyDescent="0.25">
      <c r="A147" t="s">
        <v>77</v>
      </c>
    </row>
  </sheetData>
  <conditionalFormatting sqref="B2:C2">
    <cfRule type="cellIs" dxfId="2" priority="3" operator="lessThan">
      <formula>0</formula>
    </cfRule>
  </conditionalFormatting>
  <conditionalFormatting sqref="E2:G2">
    <cfRule type="cellIs" dxfId="1" priority="2" operator="lessThan">
      <formula>0</formula>
    </cfRule>
  </conditionalFormatting>
  <conditionalFormatting sqref="B2:G7">
    <cfRule type="cellIs" dxfId="0" priority="1" operator="lessThan">
      <formula>0</formula>
    </cfRule>
  </conditionalFormatting>
  <hyperlinks>
    <hyperlink ref="A10" r:id="rId1"/>
    <hyperlink ref="A11" r:id="rId2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33"/>
  <sheetViews>
    <sheetView workbookViewId="0">
      <pane ySplit="1" topLeftCell="A113" activePane="bottomLeft" state="frozen"/>
      <selection pane="bottomLeft" activeCell="I98" sqref="I98"/>
    </sheetView>
  </sheetViews>
  <sheetFormatPr defaultColWidth="8.85546875" defaultRowHeight="15" x14ac:dyDescent="0.25"/>
  <cols>
    <col min="1" max="1" width="10.28515625" bestFit="1" customWidth="1"/>
    <col min="2" max="2" width="11.140625" bestFit="1" customWidth="1"/>
    <col min="3" max="3" width="10.85546875" bestFit="1" customWidth="1"/>
    <col min="4" max="4" width="13.85546875" bestFit="1" customWidth="1"/>
    <col min="5" max="5" width="9.28515625" bestFit="1" customWidth="1"/>
    <col min="6" max="6" width="9.42578125" bestFit="1" customWidth="1"/>
    <col min="7" max="7" width="12.7109375" bestFit="1" customWidth="1"/>
    <col min="8" max="8" width="7.42578125" bestFit="1" customWidth="1"/>
  </cols>
  <sheetData>
    <row r="1" spans="1:12" x14ac:dyDescent="0.25">
      <c r="A1" t="s">
        <v>27</v>
      </c>
      <c r="B1" t="s">
        <v>28</v>
      </c>
      <c r="C1" t="s">
        <v>29</v>
      </c>
      <c r="D1" t="s">
        <v>30</v>
      </c>
      <c r="E1" t="s">
        <v>14</v>
      </c>
      <c r="F1" t="s">
        <v>15</v>
      </c>
      <c r="G1" t="s">
        <v>17</v>
      </c>
      <c r="H1" t="s">
        <v>16</v>
      </c>
      <c r="I1" t="s">
        <v>18</v>
      </c>
      <c r="K1" t="s">
        <v>59</v>
      </c>
      <c r="L1" t="s">
        <v>60</v>
      </c>
    </row>
    <row r="2" spans="1:12" x14ac:dyDescent="0.25">
      <c r="A2" s="9">
        <v>42736</v>
      </c>
      <c r="B2" s="10">
        <v>24002.661961967471</v>
      </c>
      <c r="C2" s="10">
        <v>295284.36286290002</v>
      </c>
      <c r="D2" s="10">
        <v>319287.02482486749</v>
      </c>
      <c r="E2">
        <v>48463.128000000004</v>
      </c>
      <c r="F2">
        <v>528478.87199999997</v>
      </c>
      <c r="G2">
        <v>576942</v>
      </c>
      <c r="H2" t="s">
        <v>26</v>
      </c>
      <c r="I2" t="s">
        <v>25</v>
      </c>
    </row>
    <row r="3" spans="1:12" x14ac:dyDescent="0.25">
      <c r="A3" t="s">
        <v>38</v>
      </c>
      <c r="B3" s="11">
        <v>30086.825105030486</v>
      </c>
      <c r="C3" s="11">
        <v>197055.23447681998</v>
      </c>
      <c r="D3" s="11">
        <v>227142.05958185048</v>
      </c>
      <c r="E3">
        <v>50224.575599999996</v>
      </c>
      <c r="F3">
        <v>426289.42440000002</v>
      </c>
      <c r="G3">
        <v>476514</v>
      </c>
      <c r="H3" t="s">
        <v>26</v>
      </c>
      <c r="I3" t="s">
        <v>25</v>
      </c>
    </row>
    <row r="4" spans="1:12" x14ac:dyDescent="0.25">
      <c r="A4" t="s">
        <v>39</v>
      </c>
      <c r="B4" s="10">
        <v>29764.654346245352</v>
      </c>
      <c r="C4" s="10">
        <v>260505.99876265001</v>
      </c>
      <c r="D4" s="10">
        <v>290270.65310889535</v>
      </c>
      <c r="E4">
        <v>45944.456400000003</v>
      </c>
      <c r="F4">
        <v>386677.54359999998</v>
      </c>
      <c r="G4">
        <v>432622</v>
      </c>
      <c r="H4" t="s">
        <v>26</v>
      </c>
      <c r="I4" t="s">
        <v>25</v>
      </c>
    </row>
    <row r="5" spans="1:12" x14ac:dyDescent="0.25">
      <c r="A5" t="s">
        <v>40</v>
      </c>
      <c r="B5" s="11">
        <v>29788.945912506482</v>
      </c>
      <c r="C5" s="11">
        <v>279826.19406980003</v>
      </c>
      <c r="D5" s="11">
        <v>309615.13998230651</v>
      </c>
      <c r="E5">
        <v>49860.3105</v>
      </c>
      <c r="F5">
        <v>448244.68949999998</v>
      </c>
      <c r="G5">
        <v>498105</v>
      </c>
      <c r="H5" t="s">
        <v>26</v>
      </c>
      <c r="I5" t="s">
        <v>25</v>
      </c>
    </row>
    <row r="6" spans="1:12" x14ac:dyDescent="0.25">
      <c r="A6" t="s">
        <v>41</v>
      </c>
      <c r="B6" s="10">
        <v>37849.24556381334</v>
      </c>
      <c r="C6" s="10">
        <v>251678.95238229999</v>
      </c>
      <c r="D6" s="10">
        <v>289528.1979461133</v>
      </c>
      <c r="E6">
        <v>56491.786800000002</v>
      </c>
      <c r="F6">
        <v>493039.2132</v>
      </c>
      <c r="G6">
        <v>549531</v>
      </c>
      <c r="H6" t="s">
        <v>26</v>
      </c>
      <c r="I6" t="s">
        <v>25</v>
      </c>
    </row>
    <row r="7" spans="1:12" x14ac:dyDescent="0.25">
      <c r="A7" t="s">
        <v>42</v>
      </c>
      <c r="B7" s="11">
        <v>32489.969929949162</v>
      </c>
      <c r="C7" s="11">
        <v>371593.80218659999</v>
      </c>
      <c r="D7" s="11">
        <v>404083.77211654914</v>
      </c>
      <c r="E7">
        <v>57268.842400000001</v>
      </c>
      <c r="F7">
        <v>432627.15759999998</v>
      </c>
      <c r="G7">
        <v>489896</v>
      </c>
      <c r="H7" t="s">
        <v>26</v>
      </c>
      <c r="I7" t="s">
        <v>25</v>
      </c>
    </row>
    <row r="8" spans="1:12" x14ac:dyDescent="0.25">
      <c r="A8" t="s">
        <v>43</v>
      </c>
      <c r="B8" s="10">
        <v>26006.552401234385</v>
      </c>
      <c r="C8" s="10">
        <v>286095.96782410005</v>
      </c>
      <c r="D8" s="10">
        <v>312102.52022533445</v>
      </c>
      <c r="E8">
        <v>40458.892500000002</v>
      </c>
      <c r="F8">
        <v>278366.10749999998</v>
      </c>
      <c r="G8">
        <v>318825</v>
      </c>
      <c r="H8" t="s">
        <v>26</v>
      </c>
      <c r="I8" t="s">
        <v>25</v>
      </c>
    </row>
    <row r="9" spans="1:12" x14ac:dyDescent="0.25">
      <c r="A9" t="s">
        <v>44</v>
      </c>
      <c r="B9" s="11">
        <v>26521.51327265189</v>
      </c>
      <c r="C9" s="11">
        <v>257063.76982290001</v>
      </c>
      <c r="D9" s="11">
        <v>283585.28309555189</v>
      </c>
      <c r="E9">
        <v>57593.446400000001</v>
      </c>
      <c r="F9">
        <v>330502.55359999998</v>
      </c>
      <c r="G9">
        <v>388096</v>
      </c>
      <c r="H9" t="s">
        <v>26</v>
      </c>
      <c r="I9" t="s">
        <v>25</v>
      </c>
    </row>
    <row r="10" spans="1:12" x14ac:dyDescent="0.25">
      <c r="A10" t="s">
        <v>45</v>
      </c>
      <c r="B10" s="10">
        <v>30523.79080634379</v>
      </c>
      <c r="C10" s="10">
        <v>274513.71659740002</v>
      </c>
      <c r="D10" s="10">
        <v>305037.5074037438</v>
      </c>
      <c r="E10">
        <v>59572.267499999994</v>
      </c>
      <c r="F10">
        <v>358478.73249999998</v>
      </c>
      <c r="G10">
        <v>418051</v>
      </c>
      <c r="H10" t="s">
        <v>26</v>
      </c>
      <c r="I10" t="s">
        <v>25</v>
      </c>
    </row>
    <row r="11" spans="1:12" x14ac:dyDescent="0.25">
      <c r="A11" t="s">
        <v>46</v>
      </c>
      <c r="B11" s="11">
        <v>30484.711803289792</v>
      </c>
      <c r="C11" s="11">
        <v>254127.92570989998</v>
      </c>
      <c r="D11" s="11">
        <v>284612.63751318975</v>
      </c>
      <c r="E11">
        <v>58099.917600000001</v>
      </c>
      <c r="F11">
        <v>344254.08240000001</v>
      </c>
      <c r="G11">
        <v>402354</v>
      </c>
      <c r="H11" t="s">
        <v>26</v>
      </c>
      <c r="I11" t="s">
        <v>25</v>
      </c>
    </row>
    <row r="12" spans="1:12" x14ac:dyDescent="0.25">
      <c r="A12" t="s">
        <v>47</v>
      </c>
      <c r="B12" s="10">
        <v>28800.579265779961</v>
      </c>
      <c r="C12" s="10">
        <v>327022.6801311</v>
      </c>
      <c r="D12" s="10">
        <v>355823.25939687993</v>
      </c>
      <c r="E12">
        <v>53508.951999999997</v>
      </c>
      <c r="F12">
        <v>338211.04800000001</v>
      </c>
      <c r="G12">
        <v>391720</v>
      </c>
      <c r="H12" t="s">
        <v>26</v>
      </c>
      <c r="I12" t="s">
        <v>25</v>
      </c>
    </row>
    <row r="13" spans="1:12" x14ac:dyDescent="0.25">
      <c r="A13" t="s">
        <v>48</v>
      </c>
      <c r="B13" s="11">
        <v>30910.523612885321</v>
      </c>
      <c r="C13" s="11">
        <v>331366.11935869994</v>
      </c>
      <c r="D13" s="11">
        <v>362276.64297158527</v>
      </c>
      <c r="E13">
        <v>64899.379399999998</v>
      </c>
      <c r="F13">
        <v>354889.62060000002</v>
      </c>
      <c r="G13">
        <v>419789</v>
      </c>
      <c r="H13" t="s">
        <v>26</v>
      </c>
      <c r="I13" t="s">
        <v>25</v>
      </c>
    </row>
    <row r="14" spans="1:12" x14ac:dyDescent="0.25">
      <c r="A14" t="s">
        <v>49</v>
      </c>
      <c r="B14" s="10">
        <v>32697.850626667168</v>
      </c>
      <c r="C14" s="10">
        <v>268941.59641499998</v>
      </c>
      <c r="D14" s="10">
        <v>301639.44704166712</v>
      </c>
      <c r="E14">
        <v>59243.189100000003</v>
      </c>
      <c r="F14">
        <v>333355.81089999998</v>
      </c>
      <c r="G14">
        <v>392599</v>
      </c>
      <c r="H14" t="s">
        <v>26</v>
      </c>
      <c r="I14" t="s">
        <v>25</v>
      </c>
    </row>
    <row r="15" spans="1:12" x14ac:dyDescent="0.25">
      <c r="A15" t="s">
        <v>50</v>
      </c>
      <c r="B15" s="11">
        <v>30490.637788996508</v>
      </c>
      <c r="C15" s="11">
        <v>175841.41088238999</v>
      </c>
      <c r="D15" s="11">
        <v>206332.0486713865</v>
      </c>
      <c r="E15">
        <v>56636.361500000006</v>
      </c>
      <c r="F15">
        <v>302048.6385</v>
      </c>
      <c r="G15">
        <v>358685</v>
      </c>
      <c r="H15" t="s">
        <v>26</v>
      </c>
      <c r="I15" t="s">
        <v>25</v>
      </c>
    </row>
    <row r="16" spans="1:12" x14ac:dyDescent="0.25">
      <c r="A16" t="s">
        <v>51</v>
      </c>
      <c r="B16" s="10">
        <v>29387.287548401604</v>
      </c>
      <c r="C16" s="10">
        <v>130795.87988495</v>
      </c>
      <c r="D16" s="10">
        <v>160183.1674333516</v>
      </c>
      <c r="E16">
        <v>51809.866900000001</v>
      </c>
      <c r="F16">
        <v>293359.13309999998</v>
      </c>
      <c r="G16">
        <v>345169</v>
      </c>
      <c r="H16" t="s">
        <v>26</v>
      </c>
      <c r="I16" t="s">
        <v>25</v>
      </c>
    </row>
    <row r="17" spans="1:9" x14ac:dyDescent="0.25">
      <c r="A17" t="s">
        <v>52</v>
      </c>
      <c r="B17" s="11">
        <v>35956.279058361397</v>
      </c>
      <c r="C17" s="11">
        <v>260599.01670560002</v>
      </c>
      <c r="D17" s="11">
        <v>296555.29576396139</v>
      </c>
      <c r="E17">
        <v>53590.874400000001</v>
      </c>
      <c r="F17">
        <v>320125.12560000003</v>
      </c>
      <c r="G17">
        <v>373716</v>
      </c>
      <c r="H17" t="s">
        <v>26</v>
      </c>
      <c r="I17" t="s">
        <v>25</v>
      </c>
    </row>
    <row r="18" spans="1:9" x14ac:dyDescent="0.25">
      <c r="A18" t="s">
        <v>53</v>
      </c>
      <c r="B18" s="10">
        <v>35812.023751860754</v>
      </c>
      <c r="C18" s="10">
        <v>352365.08524430002</v>
      </c>
      <c r="D18" s="10">
        <v>388177.10899616079</v>
      </c>
      <c r="E18">
        <v>58551.908800000005</v>
      </c>
      <c r="F18">
        <v>348624.09120000002</v>
      </c>
      <c r="G18">
        <v>407176</v>
      </c>
      <c r="H18" t="s">
        <v>26</v>
      </c>
      <c r="I18" t="s">
        <v>25</v>
      </c>
    </row>
    <row r="19" spans="1:9" x14ac:dyDescent="0.25">
      <c r="A19" t="s">
        <v>54</v>
      </c>
      <c r="B19" s="11">
        <v>30471.082173509665</v>
      </c>
      <c r="C19" s="11">
        <v>169646.54900129998</v>
      </c>
      <c r="D19" s="11">
        <v>200117.63117480965</v>
      </c>
      <c r="E19">
        <v>53972.195</v>
      </c>
      <c r="F19">
        <v>333202.80499999999</v>
      </c>
      <c r="G19">
        <v>387175</v>
      </c>
      <c r="H19" t="s">
        <v>26</v>
      </c>
      <c r="I19" t="s">
        <v>25</v>
      </c>
    </row>
    <row r="20" spans="1:9" x14ac:dyDescent="0.25">
      <c r="A20" t="s">
        <v>55</v>
      </c>
      <c r="B20" s="10">
        <v>29980.179604482644</v>
      </c>
      <c r="C20" s="10">
        <v>177949.1586655</v>
      </c>
      <c r="D20" s="10">
        <v>207929.33826998263</v>
      </c>
      <c r="E20">
        <v>49603.820000000007</v>
      </c>
      <c r="F20">
        <v>304709.18</v>
      </c>
      <c r="G20">
        <v>354313</v>
      </c>
      <c r="H20" t="s">
        <v>26</v>
      </c>
      <c r="I20" t="s">
        <v>25</v>
      </c>
    </row>
    <row r="21" spans="1:9" x14ac:dyDescent="0.25">
      <c r="A21" t="s">
        <v>56</v>
      </c>
      <c r="B21" s="11">
        <v>31590.295385356381</v>
      </c>
      <c r="C21" s="11">
        <v>214245.30438400002</v>
      </c>
      <c r="D21" s="11">
        <v>245835.5997693564</v>
      </c>
      <c r="E21">
        <v>51509.414400000001</v>
      </c>
      <c r="F21">
        <v>304218.58559999999</v>
      </c>
      <c r="G21">
        <v>355728</v>
      </c>
      <c r="H21" t="s">
        <v>26</v>
      </c>
      <c r="I21" t="s">
        <v>25</v>
      </c>
    </row>
    <row r="22" spans="1:9" x14ac:dyDescent="0.25">
      <c r="A22" t="s">
        <v>57</v>
      </c>
      <c r="B22" s="10">
        <v>33052.291422585324</v>
      </c>
      <c r="C22" s="10">
        <v>110057.10758761001</v>
      </c>
      <c r="D22" s="10">
        <v>143109.39901019534</v>
      </c>
      <c r="E22">
        <v>50390.1132</v>
      </c>
      <c r="F22">
        <v>299055.88679999998</v>
      </c>
      <c r="G22">
        <v>349446</v>
      </c>
      <c r="H22" t="s">
        <v>26</v>
      </c>
      <c r="I22" t="s">
        <v>25</v>
      </c>
    </row>
    <row r="23" spans="1:9" x14ac:dyDescent="0.25">
      <c r="A23" t="s">
        <v>37</v>
      </c>
      <c r="B23" s="11">
        <v>19919.670906634383</v>
      </c>
      <c r="C23" s="11">
        <v>62666.554976120002</v>
      </c>
      <c r="D23" s="11">
        <v>82586.225882754385</v>
      </c>
      <c r="E23">
        <v>45269.145300000004</v>
      </c>
      <c r="F23">
        <v>295869.85470000003</v>
      </c>
      <c r="G23">
        <v>341139</v>
      </c>
      <c r="H23" t="s">
        <v>26</v>
      </c>
      <c r="I23" t="s">
        <v>25</v>
      </c>
    </row>
    <row r="24" spans="1:9" x14ac:dyDescent="0.25">
      <c r="A24" t="s">
        <v>58</v>
      </c>
      <c r="B24" s="10">
        <v>171977.06177101904</v>
      </c>
      <c r="C24" s="10">
        <v>109570.4807674351</v>
      </c>
      <c r="D24" s="10">
        <v>281547.54253845417</v>
      </c>
      <c r="E24">
        <v>153486.0324</v>
      </c>
      <c r="F24">
        <v>308264.96759999997</v>
      </c>
      <c r="G24">
        <v>461751</v>
      </c>
      <c r="H24" t="s">
        <v>32</v>
      </c>
      <c r="I24" t="s">
        <v>31</v>
      </c>
    </row>
    <row r="25" spans="1:9" x14ac:dyDescent="0.25">
      <c r="A25" t="s">
        <v>38</v>
      </c>
      <c r="B25" s="11">
        <v>129816.03816151773</v>
      </c>
      <c r="C25" s="11">
        <v>103478.01071809857</v>
      </c>
      <c r="D25" s="11">
        <v>233294.04887961631</v>
      </c>
      <c r="E25">
        <v>147819.12160000001</v>
      </c>
      <c r="F25">
        <v>247524.87839999999</v>
      </c>
      <c r="G25">
        <v>395344</v>
      </c>
      <c r="H25" t="s">
        <v>32</v>
      </c>
      <c r="I25" t="s">
        <v>31</v>
      </c>
    </row>
    <row r="26" spans="1:9" x14ac:dyDescent="0.25">
      <c r="A26" t="s">
        <v>39</v>
      </c>
      <c r="B26" s="10">
        <v>134041.31549436302</v>
      </c>
      <c r="C26" s="10">
        <v>97096.013321773193</v>
      </c>
      <c r="D26" s="10">
        <v>231137.32881613623</v>
      </c>
      <c r="E26">
        <v>143211.09719999999</v>
      </c>
      <c r="F26">
        <v>242386.90280000001</v>
      </c>
      <c r="G26">
        <v>385598</v>
      </c>
      <c r="H26" t="s">
        <v>32</v>
      </c>
      <c r="I26" t="s">
        <v>31</v>
      </c>
    </row>
    <row r="27" spans="1:9" x14ac:dyDescent="0.25">
      <c r="A27" t="s">
        <v>40</v>
      </c>
      <c r="B27" s="11">
        <v>136883.98097611725</v>
      </c>
      <c r="C27" s="11">
        <v>111801.81225594225</v>
      </c>
      <c r="D27" s="11">
        <v>248685.79323205951</v>
      </c>
      <c r="E27">
        <v>138783.47760000001</v>
      </c>
      <c r="F27">
        <v>226628.52239999999</v>
      </c>
      <c r="G27">
        <v>365412</v>
      </c>
      <c r="H27" t="s">
        <v>32</v>
      </c>
      <c r="I27" t="s">
        <v>31</v>
      </c>
    </row>
    <row r="28" spans="1:9" x14ac:dyDescent="0.25">
      <c r="A28" t="s">
        <v>41</v>
      </c>
      <c r="B28" s="10">
        <v>126115.89431950852</v>
      </c>
      <c r="C28" s="10">
        <v>128983.51830160408</v>
      </c>
      <c r="D28" s="10">
        <v>255099.4126211126</v>
      </c>
      <c r="E28">
        <v>131967.78750000001</v>
      </c>
      <c r="F28">
        <v>213407.21249999999</v>
      </c>
      <c r="G28">
        <v>345375</v>
      </c>
      <c r="H28" t="s">
        <v>32</v>
      </c>
      <c r="I28" t="s">
        <v>31</v>
      </c>
    </row>
    <row r="29" spans="1:9" x14ac:dyDescent="0.25">
      <c r="A29" t="s">
        <v>42</v>
      </c>
      <c r="B29" s="11">
        <v>128351.55763767281</v>
      </c>
      <c r="C29" s="11">
        <v>167612.38731206051</v>
      </c>
      <c r="D29" s="11">
        <v>295963.94494973333</v>
      </c>
      <c r="E29">
        <v>138397.42979999998</v>
      </c>
      <c r="F29">
        <v>227056.57020000002</v>
      </c>
      <c r="G29">
        <v>365454</v>
      </c>
      <c r="H29" t="s">
        <v>32</v>
      </c>
      <c r="I29" t="s">
        <v>31</v>
      </c>
    </row>
    <row r="30" spans="1:9" x14ac:dyDescent="0.25">
      <c r="A30" t="s">
        <v>43</v>
      </c>
      <c r="B30" s="10">
        <v>118207.88868526743</v>
      </c>
      <c r="C30" s="10">
        <v>227801.7032034967</v>
      </c>
      <c r="D30" s="10">
        <v>346009.59188876412</v>
      </c>
      <c r="E30">
        <v>136703.4736</v>
      </c>
      <c r="F30">
        <v>214448.5264</v>
      </c>
      <c r="G30">
        <v>351152</v>
      </c>
      <c r="H30" t="s">
        <v>32</v>
      </c>
      <c r="I30" t="s">
        <v>31</v>
      </c>
    </row>
    <row r="31" spans="1:9" x14ac:dyDescent="0.25">
      <c r="A31" t="s">
        <v>44</v>
      </c>
      <c r="B31" s="11">
        <v>109516.12417144504</v>
      </c>
      <c r="C31" s="11">
        <v>146338.24370562658</v>
      </c>
      <c r="D31" s="11">
        <v>255854.36787707161</v>
      </c>
      <c r="E31">
        <v>133057.92500000002</v>
      </c>
      <c r="F31">
        <v>212547.07499999998</v>
      </c>
      <c r="G31">
        <v>345605</v>
      </c>
      <c r="H31" t="s">
        <v>32</v>
      </c>
      <c r="I31" t="s">
        <v>31</v>
      </c>
    </row>
    <row r="32" spans="1:9" x14ac:dyDescent="0.25">
      <c r="A32" t="s">
        <v>45</v>
      </c>
      <c r="B32" s="10">
        <v>136013.87098770347</v>
      </c>
      <c r="C32" s="10">
        <v>130402.8838102138</v>
      </c>
      <c r="D32" s="10">
        <v>266416.75479791727</v>
      </c>
      <c r="E32">
        <v>138668.45689999999</v>
      </c>
      <c r="F32">
        <v>216800.54310000001</v>
      </c>
      <c r="G32">
        <v>355469</v>
      </c>
      <c r="H32" t="s">
        <v>32</v>
      </c>
      <c r="I32" t="s">
        <v>31</v>
      </c>
    </row>
    <row r="33" spans="1:9" x14ac:dyDescent="0.25">
      <c r="A33" t="s">
        <v>46</v>
      </c>
      <c r="B33" s="11">
        <v>125021.44840781917</v>
      </c>
      <c r="C33" s="11">
        <v>102062.9971314616</v>
      </c>
      <c r="D33" s="11">
        <v>227084.44553928077</v>
      </c>
      <c r="E33">
        <v>138901.66750000001</v>
      </c>
      <c r="F33">
        <v>240093.33249999999</v>
      </c>
      <c r="G33">
        <v>378995</v>
      </c>
      <c r="H33" t="s">
        <v>32</v>
      </c>
      <c r="I33" t="s">
        <v>31</v>
      </c>
    </row>
    <row r="34" spans="1:9" x14ac:dyDescent="0.25">
      <c r="A34" t="s">
        <v>47</v>
      </c>
      <c r="B34" s="10">
        <v>100504.13955645935</v>
      </c>
      <c r="C34" s="10">
        <v>147974.26570856708</v>
      </c>
      <c r="D34" s="10">
        <v>248478.40526502643</v>
      </c>
      <c r="E34">
        <v>120374.39580000001</v>
      </c>
      <c r="F34">
        <v>192367.6042</v>
      </c>
      <c r="G34">
        <v>312742</v>
      </c>
      <c r="H34" t="s">
        <v>32</v>
      </c>
      <c r="I34" t="s">
        <v>31</v>
      </c>
    </row>
    <row r="35" spans="1:9" x14ac:dyDescent="0.25">
      <c r="A35" t="s">
        <v>48</v>
      </c>
      <c r="B35" s="11">
        <v>112128.36471099923</v>
      </c>
      <c r="C35" s="11">
        <v>166199.52162982579</v>
      </c>
      <c r="D35" s="11">
        <v>278327.886340825</v>
      </c>
      <c r="E35">
        <v>123862.9</v>
      </c>
      <c r="F35">
        <v>202092.1</v>
      </c>
      <c r="G35">
        <v>325955</v>
      </c>
      <c r="H35" t="s">
        <v>32</v>
      </c>
      <c r="I35" t="s">
        <v>31</v>
      </c>
    </row>
    <row r="36" spans="1:9" x14ac:dyDescent="0.25">
      <c r="A36" t="s">
        <v>49</v>
      </c>
      <c r="B36" s="10">
        <v>109904.51796678413</v>
      </c>
      <c r="C36" s="10">
        <v>94141.358018431725</v>
      </c>
      <c r="D36" s="10">
        <v>204045.87598521585</v>
      </c>
      <c r="E36">
        <v>118623.70109999999</v>
      </c>
      <c r="F36">
        <v>177713.29889999999</v>
      </c>
      <c r="G36">
        <v>296337</v>
      </c>
      <c r="H36" t="s">
        <v>32</v>
      </c>
      <c r="I36" t="s">
        <v>31</v>
      </c>
    </row>
    <row r="37" spans="1:9" x14ac:dyDescent="0.25">
      <c r="A37" t="s">
        <v>50</v>
      </c>
      <c r="B37" s="11">
        <v>120758.80790440275</v>
      </c>
      <c r="C37" s="11">
        <v>90560.374548886291</v>
      </c>
      <c r="D37" s="11">
        <v>211319.18245328905</v>
      </c>
      <c r="E37">
        <v>127032.84</v>
      </c>
      <c r="F37">
        <v>205079.16</v>
      </c>
      <c r="G37">
        <v>332112</v>
      </c>
      <c r="H37" t="s">
        <v>32</v>
      </c>
      <c r="I37" t="s">
        <v>31</v>
      </c>
    </row>
    <row r="38" spans="1:9" x14ac:dyDescent="0.25">
      <c r="A38" t="s">
        <v>51</v>
      </c>
      <c r="B38" s="10">
        <v>144429.24707203236</v>
      </c>
      <c r="C38" s="10">
        <v>94458.851942484878</v>
      </c>
      <c r="D38" s="10">
        <v>238888.09901451724</v>
      </c>
      <c r="E38">
        <v>125530.69130000001</v>
      </c>
      <c r="F38">
        <v>219618.30869999999</v>
      </c>
      <c r="G38">
        <v>345149</v>
      </c>
      <c r="H38" t="s">
        <v>32</v>
      </c>
      <c r="I38" t="s">
        <v>31</v>
      </c>
    </row>
    <row r="39" spans="1:9" x14ac:dyDescent="0.25">
      <c r="A39" t="s">
        <v>52</v>
      </c>
      <c r="B39" s="11">
        <v>133640.22657782293</v>
      </c>
      <c r="C39" s="11">
        <v>94251.984047702135</v>
      </c>
      <c r="D39" s="11">
        <v>227892.21062552507</v>
      </c>
      <c r="E39">
        <v>123482.7748</v>
      </c>
      <c r="F39">
        <v>240988.22519999999</v>
      </c>
      <c r="G39">
        <v>364471</v>
      </c>
      <c r="H39" t="s">
        <v>32</v>
      </c>
      <c r="I39" t="s">
        <v>31</v>
      </c>
    </row>
    <row r="40" spans="1:9" x14ac:dyDescent="0.25">
      <c r="A40" t="s">
        <v>53</v>
      </c>
      <c r="B40" s="10">
        <v>132802.25274238619</v>
      </c>
      <c r="C40" s="10">
        <v>59465.963948250028</v>
      </c>
      <c r="D40" s="10">
        <v>192268.21669063621</v>
      </c>
      <c r="E40">
        <v>129088.39840000001</v>
      </c>
      <c r="F40">
        <v>235980.60159999999</v>
      </c>
      <c r="G40">
        <v>365069</v>
      </c>
      <c r="H40" t="s">
        <v>32</v>
      </c>
      <c r="I40" t="s">
        <v>31</v>
      </c>
    </row>
    <row r="41" spans="1:9" x14ac:dyDescent="0.25">
      <c r="A41" t="s">
        <v>54</v>
      </c>
      <c r="B41" s="11">
        <v>135271.88076069983</v>
      </c>
      <c r="C41" s="11">
        <v>72722.804406834592</v>
      </c>
      <c r="D41" s="11">
        <v>207994.68516753442</v>
      </c>
      <c r="E41">
        <v>124071.6646</v>
      </c>
      <c r="F41">
        <v>217347.33539999998</v>
      </c>
      <c r="G41">
        <v>341419</v>
      </c>
      <c r="H41" t="s">
        <v>32</v>
      </c>
      <c r="I41" t="s">
        <v>31</v>
      </c>
    </row>
    <row r="42" spans="1:9" x14ac:dyDescent="0.25">
      <c r="A42" t="s">
        <v>55</v>
      </c>
      <c r="B42" s="10">
        <v>148426.78304800566</v>
      </c>
      <c r="C42" s="10">
        <v>151006.86412329008</v>
      </c>
      <c r="D42" s="10">
        <v>299433.64717129571</v>
      </c>
      <c r="E42">
        <v>129502.1345</v>
      </c>
      <c r="F42">
        <v>216852.86550000001</v>
      </c>
      <c r="G42">
        <v>346355</v>
      </c>
      <c r="H42" t="s">
        <v>32</v>
      </c>
      <c r="I42" t="s">
        <v>31</v>
      </c>
    </row>
    <row r="43" spans="1:9" x14ac:dyDescent="0.25">
      <c r="A43" t="s">
        <v>56</v>
      </c>
      <c r="B43" s="11">
        <v>117435.50617533945</v>
      </c>
      <c r="C43" s="11">
        <v>158627.31949176936</v>
      </c>
      <c r="D43" s="11">
        <v>276062.82566710882</v>
      </c>
      <c r="E43">
        <v>117441.26479999999</v>
      </c>
      <c r="F43">
        <v>188554.7352</v>
      </c>
      <c r="G43">
        <v>305996</v>
      </c>
      <c r="H43" t="s">
        <v>32</v>
      </c>
      <c r="I43" t="s">
        <v>31</v>
      </c>
    </row>
    <row r="44" spans="1:9" x14ac:dyDescent="0.25">
      <c r="A44" t="s">
        <v>57</v>
      </c>
      <c r="B44" s="10">
        <v>127510.83204966979</v>
      </c>
      <c r="C44" s="10">
        <v>138867.26464199938</v>
      </c>
      <c r="D44" s="10">
        <v>266378.0966916692</v>
      </c>
      <c r="E44">
        <v>148038.15330000001</v>
      </c>
      <c r="F44">
        <v>232424.84669999999</v>
      </c>
      <c r="G44">
        <v>380463</v>
      </c>
      <c r="H44" t="s">
        <v>32</v>
      </c>
      <c r="I44" t="s">
        <v>31</v>
      </c>
    </row>
    <row r="45" spans="1:9" x14ac:dyDescent="0.25">
      <c r="A45" t="s">
        <v>37</v>
      </c>
      <c r="B45" s="11">
        <v>76146.893348483078</v>
      </c>
      <c r="C45" s="11">
        <v>61002.990450985133</v>
      </c>
      <c r="D45" s="11">
        <v>137149.88379946823</v>
      </c>
      <c r="E45">
        <v>109666.03319999999</v>
      </c>
      <c r="F45">
        <v>179995.96679999999</v>
      </c>
      <c r="G45">
        <v>289662</v>
      </c>
      <c r="H45" t="s">
        <v>32</v>
      </c>
      <c r="I45" t="s">
        <v>31</v>
      </c>
    </row>
    <row r="46" spans="1:9" x14ac:dyDescent="0.25">
      <c r="A46" t="s">
        <v>58</v>
      </c>
      <c r="B46" s="10">
        <v>106011.51485445093</v>
      </c>
      <c r="C46" s="10">
        <v>200199.30761929133</v>
      </c>
      <c r="D46" s="10">
        <v>306210.82247374224</v>
      </c>
      <c r="E46">
        <v>312633</v>
      </c>
      <c r="F46">
        <v>615279</v>
      </c>
      <c r="G46">
        <v>927912</v>
      </c>
      <c r="H46" t="s">
        <v>32</v>
      </c>
      <c r="I46" t="s">
        <v>33</v>
      </c>
    </row>
    <row r="47" spans="1:9" x14ac:dyDescent="0.25">
      <c r="A47" t="s">
        <v>38</v>
      </c>
      <c r="B47" s="11">
        <v>108399.86142076415</v>
      </c>
      <c r="C47" s="11">
        <v>217888.7629665077</v>
      </c>
      <c r="D47" s="11">
        <v>326288.62438727182</v>
      </c>
      <c r="E47">
        <v>337077</v>
      </c>
      <c r="F47">
        <v>670646</v>
      </c>
      <c r="G47">
        <v>1007723</v>
      </c>
      <c r="H47" t="s">
        <v>32</v>
      </c>
      <c r="I47" t="s">
        <v>33</v>
      </c>
    </row>
    <row r="48" spans="1:9" x14ac:dyDescent="0.25">
      <c r="A48" t="s">
        <v>39</v>
      </c>
      <c r="B48" s="10">
        <v>123968.54628773703</v>
      </c>
      <c r="C48" s="10">
        <v>244667.28381265508</v>
      </c>
      <c r="D48" s="10">
        <v>368635.83010039211</v>
      </c>
      <c r="E48">
        <v>328701</v>
      </c>
      <c r="F48">
        <v>649235</v>
      </c>
      <c r="G48">
        <v>977936</v>
      </c>
      <c r="H48" t="s">
        <v>32</v>
      </c>
      <c r="I48" t="s">
        <v>33</v>
      </c>
    </row>
    <row r="49" spans="1:9" x14ac:dyDescent="0.25">
      <c r="A49" t="s">
        <v>40</v>
      </c>
      <c r="B49" s="11">
        <v>114172.11125958984</v>
      </c>
      <c r="C49" s="11">
        <v>178151.84038963882</v>
      </c>
      <c r="D49" s="11">
        <v>292323.95164922869</v>
      </c>
      <c r="E49">
        <v>324091</v>
      </c>
      <c r="F49">
        <v>617796</v>
      </c>
      <c r="G49">
        <v>941887</v>
      </c>
      <c r="H49" t="s">
        <v>32</v>
      </c>
      <c r="I49" t="s">
        <v>33</v>
      </c>
    </row>
    <row r="50" spans="1:9" x14ac:dyDescent="0.25">
      <c r="A50" t="s">
        <v>41</v>
      </c>
      <c r="B50" s="10">
        <v>106339.76209807368</v>
      </c>
      <c r="C50" s="10">
        <v>252912.96875550385</v>
      </c>
      <c r="D50" s="10">
        <v>359252.73085357755</v>
      </c>
      <c r="E50">
        <v>336880</v>
      </c>
      <c r="F50">
        <v>696009</v>
      </c>
      <c r="G50">
        <v>1032889</v>
      </c>
      <c r="H50" t="s">
        <v>32</v>
      </c>
      <c r="I50" t="s">
        <v>33</v>
      </c>
    </row>
    <row r="51" spans="1:9" x14ac:dyDescent="0.25">
      <c r="A51" t="s">
        <v>42</v>
      </c>
      <c r="B51" s="11">
        <v>119401.47965251659</v>
      </c>
      <c r="C51" s="11">
        <v>178607.95062752231</v>
      </c>
      <c r="D51" s="11">
        <v>298009.43028003891</v>
      </c>
      <c r="E51">
        <v>351823</v>
      </c>
      <c r="F51">
        <v>636920</v>
      </c>
      <c r="G51">
        <v>988743</v>
      </c>
      <c r="H51" t="s">
        <v>32</v>
      </c>
      <c r="I51" t="s">
        <v>33</v>
      </c>
    </row>
    <row r="52" spans="1:9" x14ac:dyDescent="0.25">
      <c r="A52" t="s">
        <v>43</v>
      </c>
      <c r="B52" s="10">
        <v>127837.09365855712</v>
      </c>
      <c r="C52" s="10">
        <v>266617.10411160026</v>
      </c>
      <c r="D52" s="10">
        <v>394454.19777015736</v>
      </c>
      <c r="E52">
        <v>350990</v>
      </c>
      <c r="F52">
        <v>662603</v>
      </c>
      <c r="G52">
        <v>1013593</v>
      </c>
      <c r="H52" t="s">
        <v>32</v>
      </c>
      <c r="I52" t="s">
        <v>33</v>
      </c>
    </row>
    <row r="53" spans="1:9" x14ac:dyDescent="0.25">
      <c r="A53" t="s">
        <v>44</v>
      </c>
      <c r="B53" s="11">
        <v>106730.15682859241</v>
      </c>
      <c r="C53" s="11">
        <v>164208.12141974675</v>
      </c>
      <c r="D53" s="11">
        <v>270938.27824833919</v>
      </c>
      <c r="E53">
        <v>342758</v>
      </c>
      <c r="F53">
        <v>678186</v>
      </c>
      <c r="G53">
        <v>1020944</v>
      </c>
      <c r="H53" t="s">
        <v>32</v>
      </c>
      <c r="I53" t="s">
        <v>33</v>
      </c>
    </row>
    <row r="54" spans="1:9" x14ac:dyDescent="0.25">
      <c r="A54" t="s">
        <v>45</v>
      </c>
      <c r="B54" s="10">
        <v>111719.48087252623</v>
      </c>
      <c r="C54" s="10">
        <v>256936.60512698151</v>
      </c>
      <c r="D54" s="10">
        <v>368656.08599950775</v>
      </c>
      <c r="E54">
        <v>332187</v>
      </c>
      <c r="F54">
        <v>643703</v>
      </c>
      <c r="G54">
        <v>975890</v>
      </c>
      <c r="H54" t="s">
        <v>32</v>
      </c>
      <c r="I54" t="s">
        <v>33</v>
      </c>
    </row>
    <row r="55" spans="1:9" x14ac:dyDescent="0.25">
      <c r="A55" t="s">
        <v>46</v>
      </c>
      <c r="B55" s="11">
        <v>100810.34279536566</v>
      </c>
      <c r="C55" s="11">
        <v>202633.56285613662</v>
      </c>
      <c r="D55" s="11">
        <v>303443.90565150231</v>
      </c>
      <c r="E55">
        <v>316922</v>
      </c>
      <c r="F55">
        <v>604334</v>
      </c>
      <c r="G55">
        <v>921256</v>
      </c>
      <c r="H55" t="s">
        <v>32</v>
      </c>
      <c r="I55" t="s">
        <v>33</v>
      </c>
    </row>
    <row r="56" spans="1:9" x14ac:dyDescent="0.25">
      <c r="A56" t="s">
        <v>47</v>
      </c>
      <c r="B56" s="10">
        <v>99671.774389348982</v>
      </c>
      <c r="C56" s="10">
        <v>188240.86160273169</v>
      </c>
      <c r="D56" s="10">
        <v>287912.63599208067</v>
      </c>
      <c r="E56">
        <v>306700</v>
      </c>
      <c r="F56">
        <v>604516</v>
      </c>
      <c r="G56">
        <v>911216</v>
      </c>
      <c r="H56" t="s">
        <v>32</v>
      </c>
      <c r="I56" t="s">
        <v>33</v>
      </c>
    </row>
    <row r="57" spans="1:9" x14ac:dyDescent="0.25">
      <c r="A57" t="s">
        <v>48</v>
      </c>
      <c r="B57" s="11">
        <v>122974.83313669568</v>
      </c>
      <c r="C57" s="11">
        <v>223230.42317317025</v>
      </c>
      <c r="D57" s="11">
        <v>346205.25630986592</v>
      </c>
      <c r="E57">
        <v>308862</v>
      </c>
      <c r="F57">
        <v>584119</v>
      </c>
      <c r="G57">
        <v>892981</v>
      </c>
      <c r="H57" t="s">
        <v>32</v>
      </c>
      <c r="I57" t="s">
        <v>33</v>
      </c>
    </row>
    <row r="58" spans="1:9" x14ac:dyDescent="0.25">
      <c r="A58" t="s">
        <v>49</v>
      </c>
      <c r="B58" s="10">
        <v>140193.477722009</v>
      </c>
      <c r="C58" s="10">
        <v>177087.06193727916</v>
      </c>
      <c r="D58" s="10">
        <v>317280.53965928813</v>
      </c>
      <c r="E58">
        <v>309182</v>
      </c>
      <c r="F58">
        <v>594876</v>
      </c>
      <c r="G58">
        <v>904058</v>
      </c>
      <c r="H58" t="s">
        <v>32</v>
      </c>
      <c r="I58" t="s">
        <v>33</v>
      </c>
    </row>
    <row r="59" spans="1:9" x14ac:dyDescent="0.25">
      <c r="A59" t="s">
        <v>50</v>
      </c>
      <c r="B59" s="11">
        <v>129979.61297291287</v>
      </c>
      <c r="C59" s="11">
        <v>182667.5556784012</v>
      </c>
      <c r="D59" s="11">
        <v>312647.1686513141</v>
      </c>
      <c r="E59">
        <v>287804</v>
      </c>
      <c r="F59">
        <v>572092</v>
      </c>
      <c r="G59">
        <v>859896</v>
      </c>
      <c r="H59" t="s">
        <v>32</v>
      </c>
      <c r="I59" t="s">
        <v>33</v>
      </c>
    </row>
    <row r="60" spans="1:9" x14ac:dyDescent="0.25">
      <c r="A60" t="s">
        <v>51</v>
      </c>
      <c r="B60" s="10">
        <v>143761.36421969804</v>
      </c>
      <c r="C60" s="10">
        <v>176381.82637929634</v>
      </c>
      <c r="D60" s="10">
        <v>320143.19059899438</v>
      </c>
      <c r="E60">
        <v>284452</v>
      </c>
      <c r="F60">
        <v>556941</v>
      </c>
      <c r="G60">
        <v>841393</v>
      </c>
      <c r="H60" t="s">
        <v>32</v>
      </c>
      <c r="I60" t="s">
        <v>33</v>
      </c>
    </row>
    <row r="61" spans="1:9" x14ac:dyDescent="0.25">
      <c r="A61" t="s">
        <v>52</v>
      </c>
      <c r="B61" s="11">
        <v>156292.85867860765</v>
      </c>
      <c r="C61" s="11">
        <v>194479.33355477141</v>
      </c>
      <c r="D61" s="11">
        <v>350772.19223337906</v>
      </c>
      <c r="E61">
        <v>294092</v>
      </c>
      <c r="F61">
        <v>580664</v>
      </c>
      <c r="G61">
        <v>874756</v>
      </c>
      <c r="H61" t="s">
        <v>32</v>
      </c>
      <c r="I61" t="s">
        <v>33</v>
      </c>
    </row>
    <row r="62" spans="1:9" x14ac:dyDescent="0.25">
      <c r="A62" t="s">
        <v>53</v>
      </c>
      <c r="B62" s="10">
        <v>135374.84345119417</v>
      </c>
      <c r="C62" s="10">
        <v>142396.89889356479</v>
      </c>
      <c r="D62" s="10">
        <v>277771.74234475894</v>
      </c>
      <c r="E62">
        <v>293895</v>
      </c>
      <c r="F62">
        <v>564954</v>
      </c>
      <c r="G62">
        <v>858849</v>
      </c>
      <c r="H62" t="s">
        <v>32</v>
      </c>
      <c r="I62" t="s">
        <v>33</v>
      </c>
    </row>
    <row r="63" spans="1:9" x14ac:dyDescent="0.25">
      <c r="A63" t="s">
        <v>54</v>
      </c>
      <c r="B63" s="11">
        <v>147850.1800474131</v>
      </c>
      <c r="C63" s="11">
        <v>185883.07011241547</v>
      </c>
      <c r="D63" s="11">
        <v>333733.25015982857</v>
      </c>
      <c r="E63">
        <v>285726</v>
      </c>
      <c r="F63">
        <v>571179</v>
      </c>
      <c r="G63">
        <v>856905</v>
      </c>
      <c r="H63" t="s">
        <v>32</v>
      </c>
      <c r="I63" t="s">
        <v>33</v>
      </c>
    </row>
    <row r="64" spans="1:9" x14ac:dyDescent="0.25">
      <c r="A64" t="s">
        <v>55</v>
      </c>
      <c r="B64" s="10">
        <v>130874.81382093206</v>
      </c>
      <c r="C64" s="10">
        <v>202812.51568163902</v>
      </c>
      <c r="D64" s="10">
        <v>333687.32950257108</v>
      </c>
      <c r="E64">
        <v>278372</v>
      </c>
      <c r="F64">
        <v>529078</v>
      </c>
      <c r="G64">
        <v>807450</v>
      </c>
      <c r="H64" t="s">
        <v>32</v>
      </c>
      <c r="I64" t="s">
        <v>33</v>
      </c>
    </row>
    <row r="65" spans="1:9" x14ac:dyDescent="0.25">
      <c r="A65" t="s">
        <v>56</v>
      </c>
      <c r="B65" s="11">
        <v>117137.52944714743</v>
      </c>
      <c r="C65" s="11">
        <v>142695.38702039781</v>
      </c>
      <c r="D65" s="11">
        <v>259832.91646754526</v>
      </c>
      <c r="E65">
        <v>256796</v>
      </c>
      <c r="F65">
        <v>521203</v>
      </c>
      <c r="G65">
        <v>777999</v>
      </c>
      <c r="H65" t="s">
        <v>32</v>
      </c>
      <c r="I65" t="s">
        <v>33</v>
      </c>
    </row>
    <row r="66" spans="1:9" x14ac:dyDescent="0.25">
      <c r="A66" t="s">
        <v>57</v>
      </c>
      <c r="B66" s="10">
        <v>111926.53349736074</v>
      </c>
      <c r="C66" s="10">
        <v>200993.71014779294</v>
      </c>
      <c r="D66" s="10">
        <v>312920.24364515371</v>
      </c>
      <c r="E66">
        <v>252485</v>
      </c>
      <c r="F66">
        <v>489422</v>
      </c>
      <c r="G66">
        <v>741907</v>
      </c>
      <c r="H66" t="s">
        <v>32</v>
      </c>
      <c r="I66" t="s">
        <v>33</v>
      </c>
    </row>
    <row r="67" spans="1:9" x14ac:dyDescent="0.25">
      <c r="A67" t="s">
        <v>37</v>
      </c>
      <c r="B67" s="11">
        <v>74884.177171258765</v>
      </c>
      <c r="C67" s="11">
        <v>108698.98646623222</v>
      </c>
      <c r="D67" s="11">
        <v>183583.163637491</v>
      </c>
      <c r="E67">
        <v>256873.99999999997</v>
      </c>
      <c r="F67">
        <v>554517</v>
      </c>
      <c r="G67">
        <v>811391</v>
      </c>
      <c r="H67" t="s">
        <v>32</v>
      </c>
      <c r="I67" t="s">
        <v>33</v>
      </c>
    </row>
    <row r="68" spans="1:9" x14ac:dyDescent="0.25">
      <c r="A68" t="s">
        <v>58</v>
      </c>
      <c r="B68" s="10">
        <v>31394.415104877458</v>
      </c>
      <c r="C68" s="10">
        <v>86465.035290150015</v>
      </c>
      <c r="D68" s="10">
        <v>117859.45039502747</v>
      </c>
      <c r="E68">
        <v>31297</v>
      </c>
      <c r="F68">
        <v>62337</v>
      </c>
      <c r="G68">
        <v>93634</v>
      </c>
      <c r="H68" t="s">
        <v>26</v>
      </c>
      <c r="I68" t="s">
        <v>34</v>
      </c>
    </row>
    <row r="69" spans="1:9" x14ac:dyDescent="0.25">
      <c r="A69" t="s">
        <v>38</v>
      </c>
      <c r="B69" s="11">
        <v>26101.27341457321</v>
      </c>
      <c r="C69" s="11">
        <v>86740.814603610008</v>
      </c>
      <c r="D69" s="11">
        <v>112842.08801818322</v>
      </c>
      <c r="E69">
        <v>35253</v>
      </c>
      <c r="F69">
        <v>64461</v>
      </c>
      <c r="G69">
        <v>99714</v>
      </c>
      <c r="H69" t="s">
        <v>26</v>
      </c>
      <c r="I69" t="s">
        <v>34</v>
      </c>
    </row>
    <row r="70" spans="1:9" x14ac:dyDescent="0.25">
      <c r="A70" t="s">
        <v>39</v>
      </c>
      <c r="B70" s="10">
        <v>32065.487088925001</v>
      </c>
      <c r="C70" s="10">
        <v>78531.406076350002</v>
      </c>
      <c r="D70" s="10">
        <v>110596.893165275</v>
      </c>
      <c r="E70">
        <v>38494</v>
      </c>
      <c r="F70">
        <v>60943</v>
      </c>
      <c r="G70">
        <v>99437</v>
      </c>
      <c r="H70" t="s">
        <v>26</v>
      </c>
      <c r="I70" t="s">
        <v>34</v>
      </c>
    </row>
    <row r="71" spans="1:9" x14ac:dyDescent="0.25">
      <c r="A71" t="s">
        <v>40</v>
      </c>
      <c r="B71" s="11">
        <v>29615.640536650113</v>
      </c>
      <c r="C71" s="11">
        <v>60434.140524750001</v>
      </c>
      <c r="D71" s="11">
        <v>90049.781061400106</v>
      </c>
      <c r="E71">
        <v>34235</v>
      </c>
      <c r="F71">
        <v>64950</v>
      </c>
      <c r="G71">
        <v>99185</v>
      </c>
      <c r="H71" t="s">
        <v>26</v>
      </c>
      <c r="I71" t="s">
        <v>34</v>
      </c>
    </row>
    <row r="72" spans="1:9" x14ac:dyDescent="0.25">
      <c r="A72" t="s">
        <v>41</v>
      </c>
      <c r="B72" s="10">
        <v>41845.255599143813</v>
      </c>
      <c r="C72" s="10">
        <v>59700.706240050007</v>
      </c>
      <c r="D72" s="10">
        <v>101545.96183919383</v>
      </c>
      <c r="E72">
        <v>50236</v>
      </c>
      <c r="F72">
        <v>75422</v>
      </c>
      <c r="G72">
        <v>125658</v>
      </c>
      <c r="H72" t="s">
        <v>26</v>
      </c>
      <c r="I72" t="s">
        <v>34</v>
      </c>
    </row>
    <row r="73" spans="1:9" x14ac:dyDescent="0.25">
      <c r="A73" t="s">
        <v>42</v>
      </c>
      <c r="B73" s="11">
        <v>38747.467611487657</v>
      </c>
      <c r="C73" s="11">
        <v>42233.139957380001</v>
      </c>
      <c r="D73" s="11">
        <v>80980.60756886765</v>
      </c>
      <c r="E73">
        <v>38394</v>
      </c>
      <c r="F73">
        <v>73349</v>
      </c>
      <c r="G73">
        <v>111743</v>
      </c>
      <c r="H73" t="s">
        <v>26</v>
      </c>
      <c r="I73" t="s">
        <v>34</v>
      </c>
    </row>
    <row r="74" spans="1:9" x14ac:dyDescent="0.25">
      <c r="A74" t="s">
        <v>43</v>
      </c>
      <c r="B74" s="10">
        <v>34777.910993091296</v>
      </c>
      <c r="C74" s="10">
        <v>46854.396139920005</v>
      </c>
      <c r="D74" s="10">
        <v>81632.307133011302</v>
      </c>
      <c r="E74">
        <v>33384</v>
      </c>
      <c r="F74">
        <v>64886</v>
      </c>
      <c r="G74">
        <v>98270</v>
      </c>
      <c r="H74" t="s">
        <v>26</v>
      </c>
      <c r="I74" t="s">
        <v>34</v>
      </c>
    </row>
    <row r="75" spans="1:9" x14ac:dyDescent="0.25">
      <c r="A75" t="s">
        <v>44</v>
      </c>
      <c r="B75" s="11">
        <v>39848.714388587599</v>
      </c>
      <c r="C75" s="11">
        <v>81966.834406309994</v>
      </c>
      <c r="D75" s="11">
        <v>121815.54879489759</v>
      </c>
      <c r="E75">
        <v>35097</v>
      </c>
      <c r="F75">
        <v>65500</v>
      </c>
      <c r="G75">
        <v>100597</v>
      </c>
      <c r="H75" t="s">
        <v>26</v>
      </c>
      <c r="I75" t="s">
        <v>34</v>
      </c>
    </row>
    <row r="76" spans="1:9" x14ac:dyDescent="0.25">
      <c r="A76" t="s">
        <v>45</v>
      </c>
      <c r="B76" s="10">
        <v>44544.579887358152</v>
      </c>
      <c r="C76" s="10">
        <v>49176.594296299998</v>
      </c>
      <c r="D76" s="10">
        <v>93721.17418365815</v>
      </c>
      <c r="E76">
        <v>35467</v>
      </c>
      <c r="F76">
        <v>67332</v>
      </c>
      <c r="G76">
        <v>102799</v>
      </c>
      <c r="H76" t="s">
        <v>26</v>
      </c>
      <c r="I76" t="s">
        <v>34</v>
      </c>
    </row>
    <row r="77" spans="1:9" x14ac:dyDescent="0.25">
      <c r="A77" t="s">
        <v>46</v>
      </c>
      <c r="B77" s="11">
        <v>44850.551482745374</v>
      </c>
      <c r="C77" s="11">
        <v>115231.39729317999</v>
      </c>
      <c r="D77" s="11">
        <v>160081.94877592538</v>
      </c>
      <c r="E77">
        <v>33771</v>
      </c>
      <c r="F77">
        <v>64233</v>
      </c>
      <c r="G77">
        <v>98004</v>
      </c>
      <c r="H77" t="s">
        <v>26</v>
      </c>
      <c r="I77" t="s">
        <v>34</v>
      </c>
    </row>
    <row r="78" spans="1:9" x14ac:dyDescent="0.25">
      <c r="A78" t="s">
        <v>47</v>
      </c>
      <c r="B78" s="10">
        <v>36882.140904092113</v>
      </c>
      <c r="C78" s="10">
        <v>117938.27649379999</v>
      </c>
      <c r="D78" s="10">
        <v>154820.4173978921</v>
      </c>
      <c r="E78">
        <v>31808</v>
      </c>
      <c r="F78">
        <v>57753</v>
      </c>
      <c r="G78">
        <v>89561</v>
      </c>
      <c r="H78" t="s">
        <v>26</v>
      </c>
      <c r="I78" t="s">
        <v>34</v>
      </c>
    </row>
    <row r="79" spans="1:9" x14ac:dyDescent="0.25">
      <c r="A79" t="s">
        <v>48</v>
      </c>
      <c r="B79" s="11">
        <v>40629.497165714143</v>
      </c>
      <c r="C79" s="11">
        <v>122299.57372108</v>
      </c>
      <c r="D79" s="11">
        <v>162929.07088679413</v>
      </c>
      <c r="E79">
        <v>31477</v>
      </c>
      <c r="F79">
        <v>57059</v>
      </c>
      <c r="G79">
        <v>88536</v>
      </c>
      <c r="H79" t="s">
        <v>26</v>
      </c>
      <c r="I79" t="s">
        <v>34</v>
      </c>
    </row>
    <row r="80" spans="1:9" x14ac:dyDescent="0.25">
      <c r="A80" t="s">
        <v>49</v>
      </c>
      <c r="B80" s="10">
        <v>36060.51435194441</v>
      </c>
      <c r="C80" s="10">
        <v>115322.84211875001</v>
      </c>
      <c r="D80" s="10">
        <v>151383.35647069442</v>
      </c>
      <c r="E80">
        <v>30027.000000000004</v>
      </c>
      <c r="F80">
        <v>52244</v>
      </c>
      <c r="G80">
        <v>82271</v>
      </c>
      <c r="H80" t="s">
        <v>26</v>
      </c>
      <c r="I80" t="s">
        <v>34</v>
      </c>
    </row>
    <row r="81" spans="1:9" x14ac:dyDescent="0.25">
      <c r="A81" t="s">
        <v>50</v>
      </c>
      <c r="B81" s="11">
        <v>37367.520290645691</v>
      </c>
      <c r="C81" s="11">
        <v>112769.60272214</v>
      </c>
      <c r="D81" s="11">
        <v>150137.12301278568</v>
      </c>
      <c r="E81">
        <v>29434</v>
      </c>
      <c r="F81">
        <v>53665</v>
      </c>
      <c r="G81">
        <v>83099</v>
      </c>
      <c r="H81" t="s">
        <v>26</v>
      </c>
      <c r="I81" t="s">
        <v>34</v>
      </c>
    </row>
    <row r="82" spans="1:9" x14ac:dyDescent="0.25">
      <c r="A82" t="s">
        <v>51</v>
      </c>
      <c r="B82" s="10">
        <v>38214.921616130217</v>
      </c>
      <c r="C82" s="10">
        <v>63662.975402559998</v>
      </c>
      <c r="D82" s="10">
        <v>101877.89701869022</v>
      </c>
      <c r="E82">
        <v>26111</v>
      </c>
      <c r="F82">
        <v>47139</v>
      </c>
      <c r="G82">
        <v>73250</v>
      </c>
      <c r="H82" t="s">
        <v>26</v>
      </c>
      <c r="I82" t="s">
        <v>34</v>
      </c>
    </row>
    <row r="83" spans="1:9" x14ac:dyDescent="0.25">
      <c r="A83" t="s">
        <v>52</v>
      </c>
      <c r="B83" s="11">
        <v>35787.677577905575</v>
      </c>
      <c r="C83" s="11">
        <v>100755.97393238998</v>
      </c>
      <c r="D83" s="11">
        <v>136543.65151029557</v>
      </c>
      <c r="E83">
        <v>25140</v>
      </c>
      <c r="F83">
        <v>48257</v>
      </c>
      <c r="G83">
        <v>73397</v>
      </c>
      <c r="H83" t="s">
        <v>26</v>
      </c>
      <c r="I83" t="s">
        <v>34</v>
      </c>
    </row>
    <row r="84" spans="1:9" x14ac:dyDescent="0.25">
      <c r="A84" t="s">
        <v>53</v>
      </c>
      <c r="B84" s="10">
        <v>28904.066880343009</v>
      </c>
      <c r="C84" s="10">
        <v>91135.865225119982</v>
      </c>
      <c r="D84" s="10">
        <v>120039.932105463</v>
      </c>
      <c r="E84">
        <v>27748</v>
      </c>
      <c r="F84">
        <v>51045</v>
      </c>
      <c r="G84">
        <v>78793</v>
      </c>
      <c r="H84" t="s">
        <v>26</v>
      </c>
      <c r="I84" t="s">
        <v>34</v>
      </c>
    </row>
    <row r="85" spans="1:9" x14ac:dyDescent="0.25">
      <c r="A85" t="s">
        <v>54</v>
      </c>
      <c r="B85" s="11">
        <v>37124.498757527632</v>
      </c>
      <c r="C85" s="11">
        <v>70523.255113730003</v>
      </c>
      <c r="D85" s="11">
        <v>107647.75387125764</v>
      </c>
      <c r="E85">
        <v>28866</v>
      </c>
      <c r="F85">
        <v>55707</v>
      </c>
      <c r="G85">
        <v>84573</v>
      </c>
      <c r="H85" t="s">
        <v>26</v>
      </c>
      <c r="I85" t="s">
        <v>34</v>
      </c>
    </row>
    <row r="86" spans="1:9" x14ac:dyDescent="0.25">
      <c r="A86" t="s">
        <v>55</v>
      </c>
      <c r="B86" s="10">
        <v>29022.585942457903</v>
      </c>
      <c r="C86" s="10">
        <v>50823.337990150001</v>
      </c>
      <c r="D86" s="10">
        <v>79845.923932607897</v>
      </c>
      <c r="E86">
        <v>25343</v>
      </c>
      <c r="F86">
        <v>48760</v>
      </c>
      <c r="G86">
        <v>74103</v>
      </c>
      <c r="H86" t="s">
        <v>26</v>
      </c>
      <c r="I86" t="s">
        <v>34</v>
      </c>
    </row>
    <row r="87" spans="1:9" x14ac:dyDescent="0.25">
      <c r="A87" t="s">
        <v>56</v>
      </c>
      <c r="B87" s="11">
        <v>30929.985233024636</v>
      </c>
      <c r="C87" s="11">
        <v>41233.126337460002</v>
      </c>
      <c r="D87" s="11">
        <v>72163.111570484645</v>
      </c>
      <c r="E87">
        <v>22514</v>
      </c>
      <c r="F87">
        <v>41305</v>
      </c>
      <c r="G87">
        <v>63819</v>
      </c>
      <c r="H87" t="s">
        <v>26</v>
      </c>
      <c r="I87" t="s">
        <v>34</v>
      </c>
    </row>
    <row r="88" spans="1:9" x14ac:dyDescent="0.25">
      <c r="A88" t="s">
        <v>57</v>
      </c>
      <c r="B88" s="10">
        <v>32408.94302423808</v>
      </c>
      <c r="C88" s="10">
        <v>46403.508946130001</v>
      </c>
      <c r="D88" s="10">
        <v>78812.451970368085</v>
      </c>
      <c r="E88">
        <v>19116</v>
      </c>
      <c r="F88">
        <v>35759</v>
      </c>
      <c r="G88">
        <v>54875</v>
      </c>
      <c r="H88" t="s">
        <v>26</v>
      </c>
      <c r="I88" t="s">
        <v>34</v>
      </c>
    </row>
    <row r="89" spans="1:9" x14ac:dyDescent="0.25">
      <c r="A89" t="s">
        <v>37</v>
      </c>
      <c r="B89" s="11">
        <v>16085.299556040165</v>
      </c>
      <c r="C89" s="11">
        <v>53715.634308750006</v>
      </c>
      <c r="D89" s="11">
        <v>69800.933864790175</v>
      </c>
      <c r="E89">
        <v>25134</v>
      </c>
      <c r="F89">
        <v>43123</v>
      </c>
      <c r="G89">
        <v>68257</v>
      </c>
      <c r="H89" t="s">
        <v>26</v>
      </c>
      <c r="I89" t="s">
        <v>34</v>
      </c>
    </row>
    <row r="90" spans="1:9" x14ac:dyDescent="0.25">
      <c r="A90" t="s">
        <v>58</v>
      </c>
      <c r="B90" s="10">
        <v>108330.67895874886</v>
      </c>
      <c r="C90" s="10">
        <v>213152.30636810002</v>
      </c>
      <c r="D90" s="10">
        <v>321482.98532684887</v>
      </c>
      <c r="E90">
        <v>88952</v>
      </c>
      <c r="F90">
        <v>198006</v>
      </c>
      <c r="G90">
        <v>286958</v>
      </c>
      <c r="H90" t="s">
        <v>26</v>
      </c>
      <c r="I90" t="s">
        <v>35</v>
      </c>
    </row>
    <row r="91" spans="1:9" x14ac:dyDescent="0.25">
      <c r="A91" t="s">
        <v>38</v>
      </c>
      <c r="B91" s="11">
        <v>94770.074434936134</v>
      </c>
      <c r="C91" s="11">
        <v>193417.81091240002</v>
      </c>
      <c r="D91" s="11">
        <v>288187.88534733618</v>
      </c>
      <c r="E91">
        <v>92786</v>
      </c>
      <c r="F91">
        <v>226674</v>
      </c>
      <c r="G91">
        <v>319460</v>
      </c>
      <c r="H91" t="s">
        <v>26</v>
      </c>
      <c r="I91" t="s">
        <v>35</v>
      </c>
    </row>
    <row r="92" spans="1:9" x14ac:dyDescent="0.25">
      <c r="A92" t="s">
        <v>39</v>
      </c>
      <c r="B92" s="10">
        <v>94651.098529163864</v>
      </c>
      <c r="C92" s="10">
        <v>173508.93010259999</v>
      </c>
      <c r="D92" s="10">
        <v>268160.02863176388</v>
      </c>
      <c r="E92">
        <v>92901</v>
      </c>
      <c r="F92">
        <v>221789</v>
      </c>
      <c r="G92">
        <v>314690</v>
      </c>
      <c r="H92" t="s">
        <v>26</v>
      </c>
      <c r="I92" t="s">
        <v>35</v>
      </c>
    </row>
    <row r="93" spans="1:9" x14ac:dyDescent="0.25">
      <c r="A93" t="s">
        <v>40</v>
      </c>
      <c r="B93" s="11">
        <v>99533.881589749581</v>
      </c>
      <c r="C93" s="11">
        <v>178252.94188693998</v>
      </c>
      <c r="D93" s="11">
        <v>277786.82347668958</v>
      </c>
      <c r="E93">
        <v>94596</v>
      </c>
      <c r="F93">
        <v>226001</v>
      </c>
      <c r="G93">
        <v>320597</v>
      </c>
      <c r="H93" t="s">
        <v>26</v>
      </c>
      <c r="I93" t="s">
        <v>35</v>
      </c>
    </row>
    <row r="94" spans="1:9" x14ac:dyDescent="0.25">
      <c r="A94" t="s">
        <v>41</v>
      </c>
      <c r="B94" s="10">
        <v>132626.22777565342</v>
      </c>
      <c r="C94" s="10">
        <v>179219.49346800003</v>
      </c>
      <c r="D94" s="10">
        <v>311845.72124365345</v>
      </c>
      <c r="E94">
        <v>93457</v>
      </c>
      <c r="F94">
        <v>214735</v>
      </c>
      <c r="G94">
        <v>308192</v>
      </c>
      <c r="H94" t="s">
        <v>26</v>
      </c>
      <c r="I94" t="s">
        <v>35</v>
      </c>
    </row>
    <row r="95" spans="1:9" x14ac:dyDescent="0.25">
      <c r="A95" t="s">
        <v>42</v>
      </c>
      <c r="B95" s="11">
        <v>126266.84557120482</v>
      </c>
      <c r="C95" s="11">
        <v>119018.4606469</v>
      </c>
      <c r="D95" s="11">
        <v>245285.30621810482</v>
      </c>
      <c r="E95">
        <v>80026</v>
      </c>
      <c r="F95">
        <v>186315</v>
      </c>
      <c r="G95">
        <v>266341</v>
      </c>
      <c r="H95" t="s">
        <v>26</v>
      </c>
      <c r="I95" t="s">
        <v>35</v>
      </c>
    </row>
    <row r="96" spans="1:9" x14ac:dyDescent="0.25">
      <c r="A96" t="s">
        <v>43</v>
      </c>
      <c r="B96" s="10">
        <v>126505.07014250767</v>
      </c>
      <c r="C96" s="10">
        <v>150046.75272720002</v>
      </c>
      <c r="D96" s="10">
        <v>276551.82286970771</v>
      </c>
      <c r="E96">
        <v>73962</v>
      </c>
      <c r="F96">
        <v>169001</v>
      </c>
      <c r="G96">
        <v>242963</v>
      </c>
      <c r="H96" t="s">
        <v>26</v>
      </c>
      <c r="I96" t="s">
        <v>35</v>
      </c>
    </row>
    <row r="97" spans="1:9" x14ac:dyDescent="0.25">
      <c r="A97" t="s">
        <v>44</v>
      </c>
      <c r="B97" s="11">
        <v>122892.20435384563</v>
      </c>
      <c r="C97" s="11">
        <v>184077.9466158</v>
      </c>
      <c r="D97" s="11">
        <v>306970.15096964565</v>
      </c>
      <c r="E97">
        <v>73166</v>
      </c>
      <c r="F97">
        <v>170707</v>
      </c>
      <c r="G97">
        <v>243873</v>
      </c>
      <c r="H97" t="s">
        <v>26</v>
      </c>
      <c r="I97" t="s">
        <v>35</v>
      </c>
    </row>
    <row r="98" spans="1:9" x14ac:dyDescent="0.25">
      <c r="A98" t="s">
        <v>45</v>
      </c>
      <c r="B98" s="10">
        <v>118651.28130830004</v>
      </c>
      <c r="C98" s="10">
        <v>203237.69963399999</v>
      </c>
      <c r="D98" s="10">
        <v>321888.98094230006</v>
      </c>
      <c r="E98">
        <v>81450</v>
      </c>
      <c r="F98">
        <v>188221</v>
      </c>
      <c r="G98">
        <v>269671</v>
      </c>
      <c r="H98" t="s">
        <v>26</v>
      </c>
      <c r="I98" t="s">
        <v>35</v>
      </c>
    </row>
    <row r="99" spans="1:9" x14ac:dyDescent="0.25">
      <c r="A99" t="s">
        <v>46</v>
      </c>
      <c r="B99" s="11">
        <v>95979.814835452344</v>
      </c>
      <c r="C99" s="11">
        <v>180169.75194759999</v>
      </c>
      <c r="D99" s="11">
        <v>276149.56678305235</v>
      </c>
      <c r="E99">
        <v>73540</v>
      </c>
      <c r="F99">
        <v>174065</v>
      </c>
      <c r="G99">
        <v>247605</v>
      </c>
      <c r="H99" t="s">
        <v>26</v>
      </c>
      <c r="I99" t="s">
        <v>35</v>
      </c>
    </row>
    <row r="100" spans="1:9" x14ac:dyDescent="0.25">
      <c r="A100" t="s">
        <v>47</v>
      </c>
      <c r="B100" s="10">
        <v>104259.5595098285</v>
      </c>
      <c r="C100" s="10">
        <v>152416.71899369999</v>
      </c>
      <c r="D100" s="10">
        <v>256676.27850352851</v>
      </c>
      <c r="E100">
        <v>73994</v>
      </c>
      <c r="F100">
        <v>171016</v>
      </c>
      <c r="G100">
        <v>245010</v>
      </c>
      <c r="H100" t="s">
        <v>26</v>
      </c>
      <c r="I100" t="s">
        <v>35</v>
      </c>
    </row>
    <row r="101" spans="1:9" x14ac:dyDescent="0.25">
      <c r="A101" t="s">
        <v>48</v>
      </c>
      <c r="B101" s="11">
        <v>121931.42703644872</v>
      </c>
      <c r="C101" s="11">
        <v>125339.25491721999</v>
      </c>
      <c r="D101" s="11">
        <v>247270.68195366871</v>
      </c>
      <c r="E101">
        <v>71424</v>
      </c>
      <c r="F101">
        <v>167451</v>
      </c>
      <c r="G101">
        <v>238875</v>
      </c>
      <c r="H101" t="s">
        <v>26</v>
      </c>
      <c r="I101" t="s">
        <v>35</v>
      </c>
    </row>
    <row r="102" spans="1:9" x14ac:dyDescent="0.25">
      <c r="A102" t="s">
        <v>49</v>
      </c>
      <c r="B102" s="10">
        <v>122873.38469369526</v>
      </c>
      <c r="C102" s="10">
        <v>123958.10129438</v>
      </c>
      <c r="D102" s="10">
        <v>246831.48598807526</v>
      </c>
      <c r="E102">
        <v>80438</v>
      </c>
      <c r="F102">
        <v>180608</v>
      </c>
      <c r="G102">
        <v>261046</v>
      </c>
      <c r="H102" t="s">
        <v>26</v>
      </c>
      <c r="I102" t="s">
        <v>35</v>
      </c>
    </row>
    <row r="103" spans="1:9" x14ac:dyDescent="0.25">
      <c r="A103" t="s">
        <v>50</v>
      </c>
      <c r="B103" s="11">
        <v>123872.98844620294</v>
      </c>
      <c r="C103" s="11">
        <v>190861.98889809998</v>
      </c>
      <c r="D103" s="11">
        <v>314734.97734430293</v>
      </c>
      <c r="E103">
        <v>74389</v>
      </c>
      <c r="F103">
        <v>172251</v>
      </c>
      <c r="G103">
        <v>246640</v>
      </c>
      <c r="H103" t="s">
        <v>26</v>
      </c>
      <c r="I103" t="s">
        <v>35</v>
      </c>
    </row>
    <row r="104" spans="1:9" x14ac:dyDescent="0.25">
      <c r="A104" t="s">
        <v>51</v>
      </c>
      <c r="B104" s="10">
        <v>137179.92225413158</v>
      </c>
      <c r="C104" s="10">
        <v>191996.29770037998</v>
      </c>
      <c r="D104" s="10">
        <v>329176.21995451156</v>
      </c>
      <c r="E104">
        <v>74019</v>
      </c>
      <c r="F104">
        <v>186530</v>
      </c>
      <c r="G104">
        <v>260549</v>
      </c>
      <c r="H104" t="s">
        <v>26</v>
      </c>
      <c r="I104" t="s">
        <v>35</v>
      </c>
    </row>
    <row r="105" spans="1:9" x14ac:dyDescent="0.25">
      <c r="A105" t="s">
        <v>52</v>
      </c>
      <c r="B105" s="11">
        <v>145727.92164347679</v>
      </c>
      <c r="C105" s="11">
        <v>287115.12669060001</v>
      </c>
      <c r="D105" s="11">
        <v>432843.04833407677</v>
      </c>
      <c r="E105">
        <v>74282</v>
      </c>
      <c r="F105">
        <v>206916</v>
      </c>
      <c r="G105">
        <v>281198</v>
      </c>
      <c r="H105" t="s">
        <v>26</v>
      </c>
      <c r="I105" t="s">
        <v>35</v>
      </c>
    </row>
    <row r="106" spans="1:9" x14ac:dyDescent="0.25">
      <c r="A106" t="s">
        <v>53</v>
      </c>
      <c r="B106" s="10">
        <v>129980.99554969175</v>
      </c>
      <c r="C106" s="10">
        <v>340780.43124950002</v>
      </c>
      <c r="D106" s="10">
        <v>470761.42679919174</v>
      </c>
      <c r="E106">
        <v>74863.999999999985</v>
      </c>
      <c r="F106">
        <v>213945</v>
      </c>
      <c r="G106">
        <v>288809</v>
      </c>
      <c r="H106" t="s">
        <v>26</v>
      </c>
      <c r="I106" t="s">
        <v>35</v>
      </c>
    </row>
    <row r="107" spans="1:9" x14ac:dyDescent="0.25">
      <c r="A107" t="s">
        <v>54</v>
      </c>
      <c r="B107" s="11">
        <v>120276.2294514488</v>
      </c>
      <c r="C107" s="11">
        <v>327570.69540160004</v>
      </c>
      <c r="D107" s="11">
        <v>447846.92485304887</v>
      </c>
      <c r="E107">
        <v>68970</v>
      </c>
      <c r="F107">
        <v>177532</v>
      </c>
      <c r="G107">
        <v>246502</v>
      </c>
      <c r="H107" t="s">
        <v>26</v>
      </c>
      <c r="I107" t="s">
        <v>35</v>
      </c>
    </row>
    <row r="108" spans="1:9" x14ac:dyDescent="0.25">
      <c r="A108" t="s">
        <v>55</v>
      </c>
      <c r="B108" s="10">
        <v>118159.07074358589</v>
      </c>
      <c r="C108" s="10">
        <v>172180.4153467</v>
      </c>
      <c r="D108" s="10">
        <v>290339.48609028588</v>
      </c>
      <c r="E108">
        <v>70873</v>
      </c>
      <c r="F108">
        <v>166156</v>
      </c>
      <c r="G108">
        <v>237029</v>
      </c>
      <c r="H108" t="s">
        <v>26</v>
      </c>
      <c r="I108" t="s">
        <v>35</v>
      </c>
    </row>
    <row r="109" spans="1:9" x14ac:dyDescent="0.25">
      <c r="A109" t="s">
        <v>56</v>
      </c>
      <c r="B109" s="11">
        <v>115565.86094643702</v>
      </c>
      <c r="C109" s="11">
        <v>155243.23468139998</v>
      </c>
      <c r="D109" s="11">
        <v>270809.095627837</v>
      </c>
      <c r="E109">
        <v>65432.000000000007</v>
      </c>
      <c r="F109">
        <v>147381</v>
      </c>
      <c r="G109">
        <v>212813</v>
      </c>
      <c r="H109" t="s">
        <v>26</v>
      </c>
      <c r="I109" t="s">
        <v>35</v>
      </c>
    </row>
    <row r="110" spans="1:9" x14ac:dyDescent="0.25">
      <c r="A110" t="s">
        <v>57</v>
      </c>
      <c r="B110" s="10">
        <v>121953.93728327536</v>
      </c>
      <c r="C110" s="10">
        <v>148110.60546419999</v>
      </c>
      <c r="D110" s="10">
        <v>270064.54274747532</v>
      </c>
      <c r="E110">
        <v>66738</v>
      </c>
      <c r="F110">
        <v>167268</v>
      </c>
      <c r="G110">
        <v>234006</v>
      </c>
      <c r="H110" t="s">
        <v>26</v>
      </c>
      <c r="I110" t="s">
        <v>35</v>
      </c>
    </row>
    <row r="111" spans="1:9" x14ac:dyDescent="0.25">
      <c r="A111" t="s">
        <v>37</v>
      </c>
      <c r="B111" s="11">
        <v>74990.479980620352</v>
      </c>
      <c r="C111" s="11">
        <v>76346.985034199999</v>
      </c>
      <c r="D111" s="11">
        <v>151337.46501482034</v>
      </c>
      <c r="E111">
        <v>71268</v>
      </c>
      <c r="F111">
        <v>164559</v>
      </c>
      <c r="G111">
        <v>235827</v>
      </c>
      <c r="H111" t="s">
        <v>26</v>
      </c>
      <c r="I111" t="s">
        <v>35</v>
      </c>
    </row>
    <row r="112" spans="1:9" x14ac:dyDescent="0.25">
      <c r="A112" t="s">
        <v>58</v>
      </c>
      <c r="B112" s="10">
        <v>148878.49211758125</v>
      </c>
      <c r="C112" s="10">
        <v>247626.9892371</v>
      </c>
      <c r="D112" s="10">
        <v>396505.48135468125</v>
      </c>
      <c r="E112">
        <v>66737.030463759424</v>
      </c>
      <c r="F112">
        <v>141120.96953624056</v>
      </c>
      <c r="G112">
        <v>207858</v>
      </c>
      <c r="H112" t="s">
        <v>26</v>
      </c>
      <c r="I112" t="s">
        <v>36</v>
      </c>
    </row>
    <row r="113" spans="1:9" x14ac:dyDescent="0.25">
      <c r="A113" t="s">
        <v>38</v>
      </c>
      <c r="B113" s="11">
        <v>177378.7784253257</v>
      </c>
      <c r="C113" s="11">
        <v>282359.8166427</v>
      </c>
      <c r="D113" s="11">
        <v>459738.59506802569</v>
      </c>
      <c r="E113">
        <v>82472.07225169061</v>
      </c>
      <c r="F113">
        <v>193747.92774830939</v>
      </c>
      <c r="G113">
        <v>276220</v>
      </c>
      <c r="H113" t="s">
        <v>26</v>
      </c>
      <c r="I113" t="s">
        <v>36</v>
      </c>
    </row>
    <row r="114" spans="1:9" x14ac:dyDescent="0.25">
      <c r="A114" t="s">
        <v>39</v>
      </c>
      <c r="B114" s="10">
        <v>161562.37218986766</v>
      </c>
      <c r="C114" s="10">
        <v>217002.8479462</v>
      </c>
      <c r="D114" s="10">
        <v>378565.22013606766</v>
      </c>
      <c r="E114">
        <v>72316.449359426726</v>
      </c>
      <c r="F114">
        <v>165509.55064057326</v>
      </c>
      <c r="G114">
        <v>237826</v>
      </c>
      <c r="H114" t="s">
        <v>26</v>
      </c>
      <c r="I114" t="s">
        <v>36</v>
      </c>
    </row>
    <row r="115" spans="1:9" x14ac:dyDescent="0.25">
      <c r="A115" t="s">
        <v>40</v>
      </c>
      <c r="B115" s="11">
        <v>178567.38497652698</v>
      </c>
      <c r="C115" s="11">
        <v>242984.1555274</v>
      </c>
      <c r="D115" s="11">
        <v>421551.54050392698</v>
      </c>
      <c r="E115">
        <v>69073.402984717541</v>
      </c>
      <c r="F115">
        <v>161527.59701528246</v>
      </c>
      <c r="G115">
        <v>230601</v>
      </c>
      <c r="H115" t="s">
        <v>26</v>
      </c>
      <c r="I115" t="s">
        <v>36</v>
      </c>
    </row>
    <row r="116" spans="1:9" x14ac:dyDescent="0.25">
      <c r="A116" t="s">
        <v>41</v>
      </c>
      <c r="B116" s="10">
        <v>199190.42923105319</v>
      </c>
      <c r="C116" s="10">
        <v>248513.31604539999</v>
      </c>
      <c r="D116" s="10">
        <v>447703.74527645321</v>
      </c>
      <c r="E116">
        <v>69825.800581016258</v>
      </c>
      <c r="F116">
        <v>156564.19941898374</v>
      </c>
      <c r="G116">
        <v>226390</v>
      </c>
      <c r="H116" t="s">
        <v>26</v>
      </c>
      <c r="I116" t="s">
        <v>36</v>
      </c>
    </row>
    <row r="117" spans="1:9" x14ac:dyDescent="0.25">
      <c r="A117" t="s">
        <v>42</v>
      </c>
      <c r="B117" s="11">
        <v>175308.90996095547</v>
      </c>
      <c r="C117" s="11">
        <v>240094.17372729996</v>
      </c>
      <c r="D117" s="11">
        <v>415403.0836882554</v>
      </c>
      <c r="E117">
        <v>64631.732542863429</v>
      </c>
      <c r="F117">
        <v>147158.26745713656</v>
      </c>
      <c r="G117">
        <v>211790</v>
      </c>
      <c r="H117" t="s">
        <v>26</v>
      </c>
      <c r="I117" t="s">
        <v>36</v>
      </c>
    </row>
    <row r="118" spans="1:9" x14ac:dyDescent="0.25">
      <c r="A118" t="s">
        <v>43</v>
      </c>
      <c r="B118" s="10">
        <v>195653.04541275316</v>
      </c>
      <c r="C118" s="10">
        <v>183845.97100100003</v>
      </c>
      <c r="D118" s="10">
        <v>379499.01641375315</v>
      </c>
      <c r="E118">
        <v>57457.069713540724</v>
      </c>
      <c r="F118">
        <v>135484.93028645928</v>
      </c>
      <c r="G118">
        <v>192942</v>
      </c>
      <c r="H118" t="s">
        <v>26</v>
      </c>
      <c r="I118" t="s">
        <v>36</v>
      </c>
    </row>
    <row r="119" spans="1:9" x14ac:dyDescent="0.25">
      <c r="A119" t="s">
        <v>44</v>
      </c>
      <c r="B119" s="11">
        <v>180825.97105468911</v>
      </c>
      <c r="C119" s="11">
        <v>242095.18337180003</v>
      </c>
      <c r="D119" s="11">
        <v>422921.15442648914</v>
      </c>
      <c r="E119">
        <v>60311.1230066551</v>
      </c>
      <c r="F119">
        <v>147177.87699334489</v>
      </c>
      <c r="G119">
        <v>207489</v>
      </c>
      <c r="H119" t="s">
        <v>26</v>
      </c>
      <c r="I119" t="s">
        <v>36</v>
      </c>
    </row>
    <row r="120" spans="1:9" x14ac:dyDescent="0.25">
      <c r="A120" t="s">
        <v>45</v>
      </c>
      <c r="B120" s="10">
        <v>187609.5138421577</v>
      </c>
      <c r="C120" s="10">
        <v>183754.43181060001</v>
      </c>
      <c r="D120" s="10">
        <v>371363.94565275771</v>
      </c>
      <c r="E120">
        <v>67896.516749915492</v>
      </c>
      <c r="F120">
        <v>151757.48325008451</v>
      </c>
      <c r="G120">
        <v>219654</v>
      </c>
      <c r="H120" t="s">
        <v>26</v>
      </c>
      <c r="I120" t="s">
        <v>36</v>
      </c>
    </row>
    <row r="121" spans="1:9" x14ac:dyDescent="0.25">
      <c r="A121" t="s">
        <v>46</v>
      </c>
      <c r="B121" s="11">
        <v>173847.45309007016</v>
      </c>
      <c r="C121" s="11">
        <v>130867.17547480001</v>
      </c>
      <c r="D121" s="11">
        <v>304714.62856487016</v>
      </c>
      <c r="E121">
        <v>63537.722837064393</v>
      </c>
      <c r="F121">
        <v>146553.27716293561</v>
      </c>
      <c r="G121">
        <v>210091</v>
      </c>
      <c r="H121" t="s">
        <v>26</v>
      </c>
      <c r="I121" t="s">
        <v>36</v>
      </c>
    </row>
    <row r="122" spans="1:9" x14ac:dyDescent="0.25">
      <c r="A122" t="s">
        <v>47</v>
      </c>
      <c r="B122" s="10">
        <v>171192.08944345365</v>
      </c>
      <c r="C122" s="10">
        <v>239763.72378919995</v>
      </c>
      <c r="D122" s="10">
        <v>410955.8132326536</v>
      </c>
      <c r="E122">
        <v>63232.496343615181</v>
      </c>
      <c r="F122">
        <v>145803.50365638483</v>
      </c>
      <c r="G122">
        <v>209036</v>
      </c>
      <c r="H122" t="s">
        <v>26</v>
      </c>
      <c r="I122" t="s">
        <v>36</v>
      </c>
    </row>
    <row r="123" spans="1:9" x14ac:dyDescent="0.25">
      <c r="A123" t="s">
        <v>48</v>
      </c>
      <c r="B123" s="11">
        <v>184631.81665321189</v>
      </c>
      <c r="C123" s="11">
        <v>224633.6191483</v>
      </c>
      <c r="D123" s="11">
        <v>409265.43580151186</v>
      </c>
      <c r="E123">
        <v>69768.597026123723</v>
      </c>
      <c r="F123">
        <v>167325.40297387628</v>
      </c>
      <c r="G123">
        <v>237094</v>
      </c>
      <c r="H123" t="s">
        <v>26</v>
      </c>
      <c r="I123" t="s">
        <v>36</v>
      </c>
    </row>
    <row r="124" spans="1:9" x14ac:dyDescent="0.25">
      <c r="A124" t="s">
        <v>49</v>
      </c>
      <c r="B124" s="10">
        <v>207682.56780151516</v>
      </c>
      <c r="C124" s="10">
        <v>260121.38941910004</v>
      </c>
      <c r="D124" s="10">
        <v>467803.95722061524</v>
      </c>
      <c r="E124">
        <v>70240.548554754307</v>
      </c>
      <c r="F124">
        <v>162894.45144524571</v>
      </c>
      <c r="G124">
        <v>233135</v>
      </c>
      <c r="H124" t="s">
        <v>26</v>
      </c>
      <c r="I124" t="s">
        <v>36</v>
      </c>
    </row>
    <row r="125" spans="1:9" x14ac:dyDescent="0.25">
      <c r="A125" t="s">
        <v>50</v>
      </c>
      <c r="B125" s="11">
        <v>214944.29344075895</v>
      </c>
      <c r="C125" s="11">
        <v>192251.02876060002</v>
      </c>
      <c r="D125" s="11">
        <v>407195.32220135897</v>
      </c>
      <c r="E125">
        <v>69193.337962206773</v>
      </c>
      <c r="F125">
        <v>171617.66203779323</v>
      </c>
      <c r="G125">
        <v>240811</v>
      </c>
      <c r="H125" t="s">
        <v>26</v>
      </c>
      <c r="I125" t="s">
        <v>36</v>
      </c>
    </row>
    <row r="126" spans="1:9" x14ac:dyDescent="0.25">
      <c r="A126" t="s">
        <v>51</v>
      </c>
      <c r="B126" s="10">
        <v>230586.61033712144</v>
      </c>
      <c r="C126" s="10">
        <v>199010.17447719999</v>
      </c>
      <c r="D126" s="10">
        <v>429596.78481432144</v>
      </c>
      <c r="E126">
        <v>64275.232822804988</v>
      </c>
      <c r="F126">
        <v>165323.767177195</v>
      </c>
      <c r="G126">
        <v>229599</v>
      </c>
      <c r="H126" t="s">
        <v>26</v>
      </c>
      <c r="I126" t="s">
        <v>36</v>
      </c>
    </row>
    <row r="127" spans="1:9" x14ac:dyDescent="0.25">
      <c r="A127" t="s">
        <v>52</v>
      </c>
      <c r="B127" s="11">
        <v>222359.82779773106</v>
      </c>
      <c r="C127" s="11">
        <v>172811.7292454</v>
      </c>
      <c r="D127" s="11">
        <v>395171.55704313109</v>
      </c>
      <c r="E127">
        <v>63393.867028975976</v>
      </c>
      <c r="F127">
        <v>162692.13297102402</v>
      </c>
      <c r="G127">
        <v>226086</v>
      </c>
      <c r="H127" t="s">
        <v>26</v>
      </c>
      <c r="I127" t="s">
        <v>36</v>
      </c>
    </row>
    <row r="128" spans="1:9" x14ac:dyDescent="0.25">
      <c r="A128" t="s">
        <v>53</v>
      </c>
      <c r="B128" s="10">
        <v>189703.1927910728</v>
      </c>
      <c r="C128" s="10">
        <v>170965.93783860002</v>
      </c>
      <c r="D128" s="10">
        <v>360669.13062967279</v>
      </c>
      <c r="E128">
        <v>59528.111960601876</v>
      </c>
      <c r="F128">
        <v>144013.88803939812</v>
      </c>
      <c r="G128">
        <v>203542</v>
      </c>
      <c r="H128" t="s">
        <v>26</v>
      </c>
      <c r="I128" t="s">
        <v>36</v>
      </c>
    </row>
    <row r="129" spans="1:9" x14ac:dyDescent="0.25">
      <c r="A129" t="s">
        <v>54</v>
      </c>
      <c r="B129" s="11">
        <v>193740.56448291312</v>
      </c>
      <c r="C129" s="11">
        <v>172630.73082150001</v>
      </c>
      <c r="D129" s="11">
        <v>366371.29530441313</v>
      </c>
      <c r="E129">
        <v>72500.109338994545</v>
      </c>
      <c r="F129">
        <v>169870.89066100545</v>
      </c>
      <c r="G129">
        <v>242371</v>
      </c>
      <c r="H129" t="s">
        <v>26</v>
      </c>
      <c r="I129" t="s">
        <v>36</v>
      </c>
    </row>
    <row r="130" spans="1:9" x14ac:dyDescent="0.25">
      <c r="A130" t="s">
        <v>55</v>
      </c>
      <c r="B130" s="10">
        <v>191042.13918432366</v>
      </c>
      <c r="C130" s="10">
        <v>146494.03005910001</v>
      </c>
      <c r="D130" s="10">
        <v>337536.16924342368</v>
      </c>
      <c r="E130">
        <v>71742.319487668967</v>
      </c>
      <c r="F130">
        <v>168782.68051233102</v>
      </c>
      <c r="G130">
        <v>240525</v>
      </c>
      <c r="H130" t="s">
        <v>26</v>
      </c>
      <c r="I130" t="s">
        <v>36</v>
      </c>
    </row>
    <row r="131" spans="1:9" x14ac:dyDescent="0.25">
      <c r="A131" t="s">
        <v>56</v>
      </c>
      <c r="B131" s="11">
        <v>210251.44695523786</v>
      </c>
      <c r="C131" s="11">
        <v>109729.59266990001</v>
      </c>
      <c r="D131" s="11">
        <v>319981.03962513787</v>
      </c>
      <c r="E131">
        <v>75006.710526315786</v>
      </c>
      <c r="F131">
        <v>190133.28947368421</v>
      </c>
      <c r="G131">
        <v>265140</v>
      </c>
      <c r="H131" t="s">
        <v>26</v>
      </c>
      <c r="I131" t="s">
        <v>36</v>
      </c>
    </row>
    <row r="132" spans="1:9" x14ac:dyDescent="0.25">
      <c r="A132" t="s">
        <v>57</v>
      </c>
      <c r="B132" s="10">
        <v>202511.25346637861</v>
      </c>
      <c r="C132" s="10">
        <v>155902.84364089998</v>
      </c>
      <c r="D132" s="10">
        <v>358414.09710727859</v>
      </c>
      <c r="E132">
        <v>70754.142688000517</v>
      </c>
      <c r="F132">
        <v>185858.85731199948</v>
      </c>
      <c r="G132">
        <v>256613</v>
      </c>
      <c r="H132" t="s">
        <v>26</v>
      </c>
      <c r="I132" t="s">
        <v>36</v>
      </c>
    </row>
    <row r="133" spans="1:9" x14ac:dyDescent="0.25">
      <c r="A133" t="s">
        <v>37</v>
      </c>
      <c r="B133" s="11">
        <v>114422.90587452879</v>
      </c>
      <c r="C133" s="11">
        <v>124407.4270904</v>
      </c>
      <c r="D133" s="11">
        <v>238830.33296492879</v>
      </c>
      <c r="E133">
        <v>78557.017566881259</v>
      </c>
      <c r="F133">
        <v>184644.98243311874</v>
      </c>
      <c r="G133">
        <v>263202</v>
      </c>
      <c r="H133" t="s">
        <v>26</v>
      </c>
      <c r="I133" t="s">
        <v>36</v>
      </c>
    </row>
  </sheetData>
  <hyperlinks>
    <hyperlink ref="I90" r:id="rId1" display="De.Myprotein.com – worldwide traffic to this domain"/>
    <hyperlink ref="I91" r:id="rId2" display="De.Myprotein.com – worldwide traffic to this domain"/>
    <hyperlink ref="I92" r:id="rId3" display="De.Myprotein.com – worldwide traffic to this domain"/>
    <hyperlink ref="I93" r:id="rId4" display="De.Myprotein.com – worldwide traffic to this domain"/>
    <hyperlink ref="I94" r:id="rId5" display="De.Myprotein.com – worldwide traffic to this domain"/>
    <hyperlink ref="I95" r:id="rId6" display="De.Myprotein.com – worldwide traffic to this domain"/>
    <hyperlink ref="I96" r:id="rId7" display="De.Myprotein.com – worldwide traffic to this domain"/>
    <hyperlink ref="I97" r:id="rId8" display="De.Myprotein.com – worldwide traffic to this domain"/>
    <hyperlink ref="I98" r:id="rId9" display="De.Myprotein.com – worldwide traffic to this domain"/>
    <hyperlink ref="I99" r:id="rId10" display="De.Myprotein.com – worldwide traffic to this domain"/>
    <hyperlink ref="I100" r:id="rId11" display="De.Myprotein.com – worldwide traffic to this domain"/>
    <hyperlink ref="I101" r:id="rId12" display="De.Myprotein.com – worldwide traffic to this domain"/>
    <hyperlink ref="I102" r:id="rId13" display="De.Myprotein.com – worldwide traffic to this domain"/>
    <hyperlink ref="I103" r:id="rId14" display="De.Myprotein.com – worldwide traffic to this domain"/>
    <hyperlink ref="I104" r:id="rId15" display="De.Myprotein.com – worldwide traffic to this domain"/>
    <hyperlink ref="I105" r:id="rId16" display="De.Myprotein.com – worldwide traffic to this domain"/>
    <hyperlink ref="I106" r:id="rId17" display="De.Myprotein.com – worldwide traffic to this domain"/>
    <hyperlink ref="I107" r:id="rId18" display="De.Myprotein.com – worldwide traffic to this domain"/>
    <hyperlink ref="I108" r:id="rId19" display="De.Myprotein.com – worldwide traffic to this domain"/>
    <hyperlink ref="I109" r:id="rId20" display="De.Myprotein.com – worldwide traffic to this domain"/>
    <hyperlink ref="I110" r:id="rId21" display="De.Myprotein.com – worldwide traffic to this domain"/>
    <hyperlink ref="I111" r:id="rId22" display="De.Myprotein.com – worldwide traffic to this domain"/>
    <hyperlink ref="I112" r:id="rId23" display="Fr.Myprotein.com – worldwide traffic to this domain"/>
    <hyperlink ref="I113" r:id="rId24" display="Fr.Myprotein.com – worldwide traffic to this domain"/>
    <hyperlink ref="I114" r:id="rId25" display="Fr.Myprotein.com – worldwide traffic to this domain"/>
    <hyperlink ref="I115" r:id="rId26" display="Fr.Myprotein.com – worldwide traffic to this domain"/>
    <hyperlink ref="I116" r:id="rId27" display="Fr.Myprotein.com – worldwide traffic to this domain"/>
    <hyperlink ref="I117" r:id="rId28" display="Fr.Myprotein.com – worldwide traffic to this domain"/>
    <hyperlink ref="I118" r:id="rId29" display="Fr.Myprotein.com – worldwide traffic to this domain"/>
    <hyperlink ref="I119" r:id="rId30" display="Fr.Myprotein.com – worldwide traffic to this domain"/>
    <hyperlink ref="I120" r:id="rId31" display="Fr.Myprotein.com – worldwide traffic to this domain"/>
    <hyperlink ref="I121" r:id="rId32" display="Fr.Myprotein.com – worldwide traffic to this domain"/>
    <hyperlink ref="I122" r:id="rId33" display="Fr.Myprotein.com – worldwide traffic to this domain"/>
    <hyperlink ref="I123" r:id="rId34" display="Fr.Myprotein.com – worldwide traffic to this domain"/>
    <hyperlink ref="I124" r:id="rId35" display="Fr.Myprotein.com – worldwide traffic to this domain"/>
    <hyperlink ref="I125" r:id="rId36" display="Fr.Myprotein.com – worldwide traffic to this domain"/>
    <hyperlink ref="I126" r:id="rId37" display="Fr.Myprotein.com – worldwide traffic to this domain"/>
    <hyperlink ref="I127" r:id="rId38" display="Fr.Myprotein.com – worldwide traffic to this domain"/>
    <hyperlink ref="I128" r:id="rId39" display="Fr.Myprotein.com – worldwide traffic to this domain"/>
    <hyperlink ref="I129" r:id="rId40" display="Fr.Myprotein.com – worldwide traffic to this domain"/>
    <hyperlink ref="I130" r:id="rId41" display="Fr.Myprotein.com – worldwide traffic to this domain"/>
    <hyperlink ref="I131" r:id="rId42" display="Fr.Myprotein.com – worldwide traffic to this domain"/>
    <hyperlink ref="I132" r:id="rId43" display="Fr.Myprotein.com – worldwide traffic to this domain"/>
    <hyperlink ref="I133" r:id="rId44" display="Fr.Myprotein.com – worldwide traffic to this domain"/>
  </hyperlinks>
  <pageMargins left="0.7" right="0.7" top="0.75" bottom="0.75" header="0.3" footer="0.3"/>
  <pageSetup orientation="portrait" r:id="rId45"/>
  <drawing r:id="rId4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7"/>
  <sheetViews>
    <sheetView tabSelected="1" topLeftCell="G85" workbookViewId="0">
      <selection activeCell="L89" sqref="L89"/>
    </sheetView>
  </sheetViews>
  <sheetFormatPr defaultRowHeight="15" x14ac:dyDescent="0.25"/>
  <cols>
    <col min="2" max="2" width="11.140625" bestFit="1" customWidth="1"/>
    <col min="3" max="3" width="16.5703125" customWidth="1"/>
    <col min="4" max="4" width="15.42578125" customWidth="1"/>
    <col min="12" max="17" width="19.42578125" customWidth="1"/>
  </cols>
  <sheetData>
    <row r="1" spans="1:21" x14ac:dyDescent="0.25">
      <c r="A1" t="s">
        <v>27</v>
      </c>
      <c r="B1" t="s">
        <v>28</v>
      </c>
      <c r="C1" t="s">
        <v>29</v>
      </c>
      <c r="D1" t="s">
        <v>65</v>
      </c>
      <c r="E1" t="s">
        <v>30</v>
      </c>
      <c r="F1" t="s">
        <v>14</v>
      </c>
      <c r="G1" t="s">
        <v>15</v>
      </c>
      <c r="H1" t="s">
        <v>17</v>
      </c>
      <c r="I1" t="s">
        <v>16</v>
      </c>
      <c r="J1" t="s">
        <v>18</v>
      </c>
      <c r="L1" t="s">
        <v>28</v>
      </c>
      <c r="M1" t="s">
        <v>29</v>
      </c>
      <c r="N1" t="s">
        <v>30</v>
      </c>
      <c r="O1" t="s">
        <v>14</v>
      </c>
      <c r="P1" t="s">
        <v>15</v>
      </c>
      <c r="Q1" t="s">
        <v>17</v>
      </c>
    </row>
    <row r="2" spans="1:21" x14ac:dyDescent="0.25">
      <c r="A2" t="s">
        <v>58</v>
      </c>
      <c r="B2" s="10">
        <v>31394.415104877458</v>
      </c>
      <c r="C2" s="10">
        <v>86465.035290150015</v>
      </c>
      <c r="D2" s="10">
        <v>22109.711781196573</v>
      </c>
      <c r="E2" s="10">
        <v>117859.45039502747</v>
      </c>
      <c r="F2">
        <v>31297</v>
      </c>
      <c r="G2">
        <v>62337</v>
      </c>
      <c r="H2">
        <v>93634</v>
      </c>
      <c r="I2" t="s">
        <v>26</v>
      </c>
      <c r="J2" t="s">
        <v>34</v>
      </c>
      <c r="L2" s="12">
        <f>SUM(B2:B6)</f>
        <v>161022.07174416957</v>
      </c>
      <c r="M2" s="12">
        <f>SUM(C2:C6)</f>
        <v>371872.10273491003</v>
      </c>
      <c r="N2" s="12">
        <f t="shared" ref="N2:O2" si="0">SUM(E2:E6)</f>
        <v>532894.17447907967</v>
      </c>
      <c r="O2" s="12">
        <f t="shared" si="0"/>
        <v>189515</v>
      </c>
      <c r="P2" s="12">
        <f t="shared" ref="P2" si="1">SUM(G2:G6)</f>
        <v>328113</v>
      </c>
      <c r="Q2" s="12">
        <f t="shared" ref="Q2" si="2">SUM(H2:H6)</f>
        <v>517628</v>
      </c>
      <c r="S2" s="12">
        <f>CORREL(B2:B23,F2:F23)</f>
        <v>0.41254759023996079</v>
      </c>
      <c r="T2">
        <f>CORREL(G2:G23,C2:C23)</f>
        <v>3.8814715878182811E-2</v>
      </c>
      <c r="U2">
        <f>CORREL(G2:G23,D2:D23)</f>
        <v>0.24589420405649956</v>
      </c>
    </row>
    <row r="3" spans="1:21" x14ac:dyDescent="0.25">
      <c r="A3" t="s">
        <v>38</v>
      </c>
      <c r="B3" s="11">
        <v>26101.27341457321</v>
      </c>
      <c r="C3" s="11">
        <v>86740.814603610008</v>
      </c>
      <c r="D3" s="11">
        <v>19609.651326556948</v>
      </c>
      <c r="E3" s="11">
        <v>112842.08801818322</v>
      </c>
      <c r="F3">
        <v>35253</v>
      </c>
      <c r="G3">
        <v>64461</v>
      </c>
      <c r="H3">
        <v>99714</v>
      </c>
      <c r="I3" t="s">
        <v>26</v>
      </c>
      <c r="J3" t="s">
        <v>34</v>
      </c>
      <c r="L3" s="12">
        <f>SUM(B7:B10)</f>
        <v>157918.67288052471</v>
      </c>
      <c r="M3" s="12">
        <f>SUM(C7:C10)</f>
        <v>220230.96479991</v>
      </c>
      <c r="N3" s="12">
        <f t="shared" ref="N3:Q3" si="3">SUM(E7:E10)</f>
        <v>378149.63768043468</v>
      </c>
      <c r="O3" s="12">
        <f t="shared" si="3"/>
        <v>142342</v>
      </c>
      <c r="P3" s="12">
        <f t="shared" si="3"/>
        <v>271067</v>
      </c>
      <c r="Q3" s="12">
        <f t="shared" si="3"/>
        <v>413409</v>
      </c>
      <c r="S3">
        <f>CORREL(L2:L6,O2:O6)</f>
        <v>0.66092151457060899</v>
      </c>
      <c r="T3">
        <f>CORREL(M2:M6,P2:P6)</f>
        <v>0.3428508123802988</v>
      </c>
      <c r="U3" t="e">
        <f>CORREL(#REF!,P2:P6)</f>
        <v>#REF!</v>
      </c>
    </row>
    <row r="4" spans="1:21" x14ac:dyDescent="0.25">
      <c r="A4" t="s">
        <v>39</v>
      </c>
      <c r="B4" s="10">
        <v>32065.487088925001</v>
      </c>
      <c r="C4" s="10">
        <v>78531.406076350002</v>
      </c>
      <c r="D4" s="10">
        <v>17776.291056072045</v>
      </c>
      <c r="E4" s="10">
        <v>110596.893165275</v>
      </c>
      <c r="F4">
        <v>38494</v>
      </c>
      <c r="G4">
        <v>60943</v>
      </c>
      <c r="H4">
        <v>99437</v>
      </c>
      <c r="I4" t="s">
        <v>26</v>
      </c>
      <c r="J4" t="s">
        <v>34</v>
      </c>
      <c r="L4" s="12">
        <f>SUM(B11:B14)</f>
        <v>158422.70390449604</v>
      </c>
      <c r="M4" s="12">
        <f>SUM(C11:C14)</f>
        <v>470792.08962680993</v>
      </c>
      <c r="N4" s="12">
        <f t="shared" ref="N4:Q4" si="4">SUM(E11:E14)</f>
        <v>629214.79353130609</v>
      </c>
      <c r="O4" s="12">
        <f t="shared" si="4"/>
        <v>127083</v>
      </c>
      <c r="P4" s="12">
        <f t="shared" si="4"/>
        <v>231289</v>
      </c>
      <c r="Q4" s="12">
        <f t="shared" si="4"/>
        <v>358372</v>
      </c>
    </row>
    <row r="5" spans="1:21" x14ac:dyDescent="0.25">
      <c r="A5" t="s">
        <v>40</v>
      </c>
      <c r="B5" s="11">
        <v>29615.640536650113</v>
      </c>
      <c r="C5" s="11">
        <v>60434.140524750001</v>
      </c>
      <c r="D5" s="11">
        <v>18135.789064733359</v>
      </c>
      <c r="E5" s="11">
        <v>90049.781061400106</v>
      </c>
      <c r="F5">
        <v>34235</v>
      </c>
      <c r="G5">
        <v>64950</v>
      </c>
      <c r="H5">
        <v>99185</v>
      </c>
      <c r="I5" t="s">
        <v>26</v>
      </c>
      <c r="J5" t="s">
        <v>34</v>
      </c>
      <c r="L5" s="12">
        <f>SUM(B15:B19)</f>
        <v>177398.68512255209</v>
      </c>
      <c r="M5" s="12">
        <f>SUM(C15:C19)</f>
        <v>438847.67239593994</v>
      </c>
      <c r="N5" s="12">
        <f t="shared" ref="N5:Q5" si="5">SUM(E15:E19)</f>
        <v>616246.35751849215</v>
      </c>
      <c r="O5" s="12">
        <f t="shared" si="5"/>
        <v>137299</v>
      </c>
      <c r="P5" s="12">
        <f t="shared" si="5"/>
        <v>255813</v>
      </c>
      <c r="Q5" s="12">
        <f t="shared" si="5"/>
        <v>393112</v>
      </c>
    </row>
    <row r="6" spans="1:21" x14ac:dyDescent="0.25">
      <c r="A6" t="s">
        <v>41</v>
      </c>
      <c r="B6" s="10">
        <v>41845.255599143813</v>
      </c>
      <c r="C6" s="10">
        <v>59700.706240050007</v>
      </c>
      <c r="D6" s="10">
        <v>24483.668007508382</v>
      </c>
      <c r="E6" s="10">
        <v>101545.96183919383</v>
      </c>
      <c r="F6">
        <v>50236</v>
      </c>
      <c r="G6">
        <v>75422</v>
      </c>
      <c r="H6">
        <v>125658</v>
      </c>
      <c r="I6" t="s">
        <v>26</v>
      </c>
      <c r="J6" t="s">
        <v>34</v>
      </c>
      <c r="L6" s="12">
        <f>SUM(B20:B23)</f>
        <v>108446.81375576078</v>
      </c>
      <c r="M6" s="12">
        <f>SUM(C20:C23)</f>
        <v>192175.60758249002</v>
      </c>
      <c r="N6" s="12">
        <f>SUM(E20:E23)</f>
        <v>300622.4213382508</v>
      </c>
      <c r="O6" s="12">
        <f>SUM(F20:F23)</f>
        <v>92107</v>
      </c>
      <c r="P6" s="12">
        <f>SUM(G20:G23)</f>
        <v>168947</v>
      </c>
      <c r="Q6" s="12">
        <f>SUM(H20:H23)</f>
        <v>261054</v>
      </c>
    </row>
    <row r="7" spans="1:21" x14ac:dyDescent="0.25">
      <c r="A7" t="s">
        <v>42</v>
      </c>
      <c r="B7" s="11">
        <v>38747.467611487657</v>
      </c>
      <c r="C7" s="11">
        <v>42233.139957380001</v>
      </c>
      <c r="D7" s="11">
        <v>27668.747302754593</v>
      </c>
      <c r="E7" s="11">
        <v>80980.60756886765</v>
      </c>
      <c r="F7">
        <v>38394</v>
      </c>
      <c r="G7">
        <v>73349</v>
      </c>
      <c r="H7">
        <v>111743</v>
      </c>
      <c r="I7" t="s">
        <v>26</v>
      </c>
      <c r="J7" t="s">
        <v>34</v>
      </c>
    </row>
    <row r="8" spans="1:21" x14ac:dyDescent="0.25">
      <c r="A8" t="s">
        <v>43</v>
      </c>
      <c r="B8" s="10">
        <v>34777.910993091296</v>
      </c>
      <c r="C8" s="10">
        <v>46854.396139920005</v>
      </c>
      <c r="D8" s="10">
        <v>26062.135917685446</v>
      </c>
      <c r="E8" s="10">
        <v>81632.307133011302</v>
      </c>
      <c r="F8">
        <v>33384</v>
      </c>
      <c r="G8">
        <v>64886</v>
      </c>
      <c r="H8">
        <v>98270</v>
      </c>
      <c r="I8" t="s">
        <v>26</v>
      </c>
      <c r="J8" t="s">
        <v>34</v>
      </c>
    </row>
    <row r="9" spans="1:21" x14ac:dyDescent="0.25">
      <c r="A9" t="s">
        <v>44</v>
      </c>
      <c r="B9" s="11">
        <v>39848.714388587599</v>
      </c>
      <c r="C9" s="11">
        <v>81966.834406309994</v>
      </c>
      <c r="D9" s="11">
        <v>28442.92089032588</v>
      </c>
      <c r="E9" s="11">
        <v>121815.54879489759</v>
      </c>
      <c r="F9">
        <v>35097</v>
      </c>
      <c r="G9">
        <v>65500</v>
      </c>
      <c r="H9">
        <v>100597</v>
      </c>
      <c r="I9" t="s">
        <v>26</v>
      </c>
      <c r="J9" t="s">
        <v>34</v>
      </c>
    </row>
    <row r="10" spans="1:21" x14ac:dyDescent="0.25">
      <c r="A10" t="s">
        <v>45</v>
      </c>
      <c r="B10" s="10">
        <v>44544.579887358152</v>
      </c>
      <c r="C10" s="10">
        <v>49176.594296299998</v>
      </c>
      <c r="D10" s="10">
        <v>34099.419373282872</v>
      </c>
      <c r="E10" s="10">
        <v>93721.17418365815</v>
      </c>
      <c r="F10">
        <v>35467</v>
      </c>
      <c r="G10">
        <v>67332</v>
      </c>
      <c r="H10">
        <v>102799</v>
      </c>
      <c r="I10" t="s">
        <v>26</v>
      </c>
      <c r="J10" t="s">
        <v>34</v>
      </c>
    </row>
    <row r="11" spans="1:21" x14ac:dyDescent="0.25">
      <c r="A11" t="s">
        <v>46</v>
      </c>
      <c r="B11" s="11">
        <v>44850.551482745374</v>
      </c>
      <c r="C11" s="11">
        <v>115231.39729317999</v>
      </c>
      <c r="D11" s="11">
        <v>35658.575915331254</v>
      </c>
      <c r="E11" s="11">
        <v>160081.94877592538</v>
      </c>
      <c r="F11">
        <v>33771</v>
      </c>
      <c r="G11">
        <v>64233</v>
      </c>
      <c r="H11">
        <v>98004</v>
      </c>
      <c r="I11" t="s">
        <v>26</v>
      </c>
      <c r="J11" t="s">
        <v>34</v>
      </c>
      <c r="L11" s="12"/>
      <c r="M11" s="12"/>
      <c r="N11" s="12"/>
      <c r="O11" s="12"/>
      <c r="P11" s="12"/>
      <c r="Q11" s="12"/>
    </row>
    <row r="12" spans="1:21" x14ac:dyDescent="0.25">
      <c r="A12" t="s">
        <v>47</v>
      </c>
      <c r="B12" s="10">
        <v>36882.140904092113</v>
      </c>
      <c r="C12" s="10">
        <v>117938.27649379999</v>
      </c>
      <c r="D12" s="10">
        <v>31003.396229792095</v>
      </c>
      <c r="E12" s="10">
        <v>154820.4173978921</v>
      </c>
      <c r="F12">
        <v>31808</v>
      </c>
      <c r="G12">
        <v>57753</v>
      </c>
      <c r="H12">
        <v>89561</v>
      </c>
      <c r="I12" t="s">
        <v>26</v>
      </c>
      <c r="J12" t="s">
        <v>34</v>
      </c>
      <c r="L12" s="12"/>
      <c r="M12" s="12"/>
      <c r="N12" s="12"/>
      <c r="O12" s="12"/>
      <c r="P12" s="12"/>
      <c r="Q12" s="12"/>
    </row>
    <row r="13" spans="1:21" x14ac:dyDescent="0.25">
      <c r="A13" t="s">
        <v>48</v>
      </c>
      <c r="B13" s="11">
        <v>40629.497165714143</v>
      </c>
      <c r="C13" s="11">
        <v>122299.57372108</v>
      </c>
      <c r="D13" s="11">
        <v>30130.907070154808</v>
      </c>
      <c r="E13" s="11">
        <v>162929.07088679413</v>
      </c>
      <c r="F13">
        <v>31477</v>
      </c>
      <c r="G13">
        <v>57059</v>
      </c>
      <c r="H13">
        <v>88536</v>
      </c>
      <c r="I13" t="s">
        <v>26</v>
      </c>
      <c r="J13" t="s">
        <v>34</v>
      </c>
      <c r="L13" s="12"/>
      <c r="M13" s="12"/>
      <c r="N13" s="12"/>
      <c r="O13" s="12"/>
      <c r="P13" s="12"/>
      <c r="Q13" s="12"/>
    </row>
    <row r="14" spans="1:21" x14ac:dyDescent="0.25">
      <c r="A14" t="s">
        <v>49</v>
      </c>
      <c r="B14" s="10">
        <v>36060.51435194441</v>
      </c>
      <c r="C14" s="10">
        <v>115322.84211875001</v>
      </c>
      <c r="D14" s="10">
        <v>23953.66676157893</v>
      </c>
      <c r="E14" s="10">
        <v>151383.35647069442</v>
      </c>
      <c r="F14">
        <v>30027.000000000004</v>
      </c>
      <c r="G14">
        <v>52244</v>
      </c>
      <c r="H14">
        <v>82271</v>
      </c>
      <c r="I14" t="s">
        <v>26</v>
      </c>
      <c r="J14" t="s">
        <v>34</v>
      </c>
      <c r="L14" s="12"/>
      <c r="M14" s="12"/>
      <c r="N14" s="12"/>
      <c r="O14" s="12"/>
      <c r="P14" s="12"/>
      <c r="Q14" s="12"/>
    </row>
    <row r="15" spans="1:21" x14ac:dyDescent="0.25">
      <c r="A15" t="s">
        <v>50</v>
      </c>
      <c r="B15" s="11">
        <v>37367.520290645691</v>
      </c>
      <c r="C15" s="11">
        <v>112769.60272214</v>
      </c>
      <c r="D15" s="11">
        <v>27945.541729226075</v>
      </c>
      <c r="E15" s="11">
        <v>150137.12301278568</v>
      </c>
      <c r="F15">
        <v>29434</v>
      </c>
      <c r="G15">
        <v>53665</v>
      </c>
      <c r="H15">
        <v>83099</v>
      </c>
      <c r="I15" t="s">
        <v>26</v>
      </c>
      <c r="J15" t="s">
        <v>34</v>
      </c>
      <c r="L15" s="12"/>
      <c r="M15" s="12"/>
      <c r="N15" s="12"/>
      <c r="O15" s="12"/>
      <c r="P15" s="12"/>
      <c r="Q15" s="12"/>
    </row>
    <row r="16" spans="1:21" x14ac:dyDescent="0.25">
      <c r="A16" t="s">
        <v>51</v>
      </c>
      <c r="B16" s="10">
        <v>38214.921616130217</v>
      </c>
      <c r="C16" s="10">
        <v>63662.975402559998</v>
      </c>
      <c r="D16" s="10">
        <v>27468.139566065114</v>
      </c>
      <c r="E16" s="10">
        <v>101877.89701869022</v>
      </c>
      <c r="F16">
        <v>26111</v>
      </c>
      <c r="G16">
        <v>47139</v>
      </c>
      <c r="H16">
        <v>73250</v>
      </c>
      <c r="I16" t="s">
        <v>26</v>
      </c>
      <c r="J16" t="s">
        <v>34</v>
      </c>
    </row>
    <row r="17" spans="1:10" x14ac:dyDescent="0.25">
      <c r="A17" t="s">
        <v>52</v>
      </c>
      <c r="B17" s="11">
        <v>35787.677577905575</v>
      </c>
      <c r="C17" s="11">
        <v>100755.97393238998</v>
      </c>
      <c r="D17" s="11">
        <v>28347.838569816016</v>
      </c>
      <c r="E17" s="11">
        <v>136543.65151029557</v>
      </c>
      <c r="F17">
        <v>25140</v>
      </c>
      <c r="G17">
        <v>48257</v>
      </c>
      <c r="H17">
        <v>73397</v>
      </c>
      <c r="I17" t="s">
        <v>26</v>
      </c>
      <c r="J17" t="s">
        <v>34</v>
      </c>
    </row>
    <row r="18" spans="1:10" x14ac:dyDescent="0.25">
      <c r="A18" t="s">
        <v>53</v>
      </c>
      <c r="B18" s="10">
        <v>28904.066880343009</v>
      </c>
      <c r="C18" s="10">
        <v>91135.865225119982</v>
      </c>
      <c r="D18" s="10">
        <v>20608.345027618194</v>
      </c>
      <c r="E18" s="10">
        <v>120039.932105463</v>
      </c>
      <c r="F18">
        <v>27748</v>
      </c>
      <c r="G18">
        <v>51045</v>
      </c>
      <c r="H18">
        <v>78793</v>
      </c>
      <c r="I18" t="s">
        <v>26</v>
      </c>
      <c r="J18" t="s">
        <v>34</v>
      </c>
    </row>
    <row r="19" spans="1:10" x14ac:dyDescent="0.25">
      <c r="A19" t="s">
        <v>54</v>
      </c>
      <c r="B19" s="11">
        <v>37124.498757527632</v>
      </c>
      <c r="C19" s="11">
        <v>70523.255113730003</v>
      </c>
      <c r="D19" s="11">
        <v>29568.876182476422</v>
      </c>
      <c r="E19" s="11">
        <v>107647.75387125764</v>
      </c>
      <c r="F19">
        <v>28866</v>
      </c>
      <c r="G19">
        <v>55707</v>
      </c>
      <c r="H19">
        <v>84573</v>
      </c>
      <c r="I19" t="s">
        <v>26</v>
      </c>
      <c r="J19" t="s">
        <v>34</v>
      </c>
    </row>
    <row r="20" spans="1:10" x14ac:dyDescent="0.25">
      <c r="A20" t="s">
        <v>55</v>
      </c>
      <c r="B20" s="10">
        <v>29022.585942457903</v>
      </c>
      <c r="C20" s="10">
        <v>50823.337990150001</v>
      </c>
      <c r="D20" s="10">
        <v>23770.171741658367</v>
      </c>
      <c r="E20" s="10">
        <v>79845.923932607897</v>
      </c>
      <c r="F20">
        <v>25343</v>
      </c>
      <c r="G20">
        <v>48760</v>
      </c>
      <c r="H20">
        <v>74103</v>
      </c>
      <c r="I20" t="s">
        <v>26</v>
      </c>
      <c r="J20" t="s">
        <v>34</v>
      </c>
    </row>
    <row r="21" spans="1:10" x14ac:dyDescent="0.25">
      <c r="A21" t="s">
        <v>56</v>
      </c>
      <c r="B21" s="11">
        <v>30929.985233024636</v>
      </c>
      <c r="C21" s="11">
        <v>41233.126337460002</v>
      </c>
      <c r="D21" s="11">
        <v>23305.662117139997</v>
      </c>
      <c r="E21" s="11">
        <v>72163.111570484645</v>
      </c>
      <c r="F21">
        <v>22514</v>
      </c>
      <c r="G21">
        <v>41305</v>
      </c>
      <c r="H21">
        <v>63819</v>
      </c>
      <c r="I21" t="s">
        <v>26</v>
      </c>
      <c r="J21" t="s">
        <v>34</v>
      </c>
    </row>
    <row r="22" spans="1:10" x14ac:dyDescent="0.25">
      <c r="A22" t="s">
        <v>57</v>
      </c>
      <c r="B22" s="10">
        <v>32408.94302423808</v>
      </c>
      <c r="C22" s="10">
        <v>46403.508946130001</v>
      </c>
      <c r="D22" s="10">
        <v>23885.038512205614</v>
      </c>
      <c r="E22" s="10">
        <v>78812.451970368085</v>
      </c>
      <c r="F22">
        <v>19116</v>
      </c>
      <c r="G22">
        <v>35759</v>
      </c>
      <c r="H22">
        <v>54875</v>
      </c>
      <c r="I22" t="s">
        <v>26</v>
      </c>
      <c r="J22" t="s">
        <v>34</v>
      </c>
    </row>
    <row r="23" spans="1:10" x14ac:dyDescent="0.25">
      <c r="A23" t="s">
        <v>37</v>
      </c>
      <c r="B23" s="11">
        <v>16085.299556040165</v>
      </c>
      <c r="C23" s="11">
        <v>53715.634308750006</v>
      </c>
      <c r="D23" s="11">
        <v>13413.321844303051</v>
      </c>
      <c r="E23" s="11">
        <v>69800.933864790175</v>
      </c>
      <c r="F23">
        <v>25134</v>
      </c>
      <c r="G23">
        <v>43123</v>
      </c>
      <c r="H23">
        <v>68257</v>
      </c>
      <c r="I23" t="s">
        <v>26</v>
      </c>
      <c r="J23" t="s">
        <v>34</v>
      </c>
    </row>
    <row r="26" spans="1:10" x14ac:dyDescent="0.25">
      <c r="A26" t="s">
        <v>27</v>
      </c>
      <c r="B26" t="s">
        <v>28</v>
      </c>
      <c r="C26" t="s">
        <v>29</v>
      </c>
      <c r="D26" t="s">
        <v>30</v>
      </c>
      <c r="E26" t="s">
        <v>14</v>
      </c>
      <c r="F26" t="s">
        <v>15</v>
      </c>
      <c r="G26" t="s">
        <v>17</v>
      </c>
      <c r="H26" t="s">
        <v>16</v>
      </c>
      <c r="I26" t="s">
        <v>18</v>
      </c>
    </row>
    <row r="27" spans="1:10" x14ac:dyDescent="0.25">
      <c r="A27" t="s">
        <v>58</v>
      </c>
      <c r="B27" s="10">
        <v>148878.49211758125</v>
      </c>
      <c r="C27" s="10">
        <v>247626.9892371</v>
      </c>
      <c r="D27" s="10">
        <v>396505.48135468125</v>
      </c>
      <c r="E27">
        <v>66737.030463759424</v>
      </c>
      <c r="F27">
        <v>141120.96953624056</v>
      </c>
      <c r="G27">
        <v>207858</v>
      </c>
      <c r="H27" t="s">
        <v>26</v>
      </c>
      <c r="I27" t="s">
        <v>36</v>
      </c>
    </row>
    <row r="28" spans="1:10" x14ac:dyDescent="0.25">
      <c r="A28" t="s">
        <v>38</v>
      </c>
      <c r="B28" s="11">
        <v>177378.7784253257</v>
      </c>
      <c r="C28" s="11">
        <v>282359.8166427</v>
      </c>
      <c r="D28" s="11">
        <v>459738.59506802569</v>
      </c>
      <c r="E28">
        <v>82472.07225169061</v>
      </c>
      <c r="F28">
        <v>193747.92774830939</v>
      </c>
      <c r="G28">
        <v>276220</v>
      </c>
      <c r="H28" t="s">
        <v>26</v>
      </c>
      <c r="I28" t="s">
        <v>36</v>
      </c>
    </row>
    <row r="29" spans="1:10" x14ac:dyDescent="0.25">
      <c r="A29" t="s">
        <v>39</v>
      </c>
      <c r="B29" s="10">
        <v>161562.37218986766</v>
      </c>
      <c r="C29" s="10">
        <v>217002.8479462</v>
      </c>
      <c r="D29" s="10">
        <v>378565.22013606766</v>
      </c>
      <c r="E29">
        <v>72316.449359426726</v>
      </c>
      <c r="F29">
        <v>165509.55064057326</v>
      </c>
      <c r="G29">
        <v>237826</v>
      </c>
      <c r="H29" t="s">
        <v>26</v>
      </c>
      <c r="I29" t="s">
        <v>36</v>
      </c>
    </row>
    <row r="30" spans="1:10" x14ac:dyDescent="0.25">
      <c r="A30" t="s">
        <v>40</v>
      </c>
      <c r="B30" s="11">
        <v>178567.38497652698</v>
      </c>
      <c r="C30" s="11">
        <v>242984.1555274</v>
      </c>
      <c r="D30" s="11">
        <v>421551.54050392698</v>
      </c>
      <c r="E30">
        <v>69073.402984717541</v>
      </c>
      <c r="F30">
        <v>161527.59701528246</v>
      </c>
      <c r="G30">
        <v>230601</v>
      </c>
      <c r="H30" t="s">
        <v>26</v>
      </c>
      <c r="I30" t="s">
        <v>36</v>
      </c>
    </row>
    <row r="31" spans="1:10" x14ac:dyDescent="0.25">
      <c r="A31" t="s">
        <v>41</v>
      </c>
      <c r="B31" s="10">
        <v>199190.42923105319</v>
      </c>
      <c r="C31" s="10">
        <v>248513.31604539999</v>
      </c>
      <c r="D31" s="10">
        <v>447703.74527645321</v>
      </c>
      <c r="E31">
        <v>69825.800581016258</v>
      </c>
      <c r="F31">
        <v>156564.19941898374</v>
      </c>
      <c r="G31">
        <v>226390</v>
      </c>
      <c r="H31" t="s">
        <v>26</v>
      </c>
      <c r="I31" t="s">
        <v>36</v>
      </c>
    </row>
    <row r="32" spans="1:10" x14ac:dyDescent="0.25">
      <c r="A32" t="s">
        <v>42</v>
      </c>
      <c r="B32" s="11">
        <v>175308.90996095547</v>
      </c>
      <c r="C32" s="11">
        <v>240094.17372729996</v>
      </c>
      <c r="D32" s="11">
        <v>415403.0836882554</v>
      </c>
      <c r="E32">
        <v>64631.732542863429</v>
      </c>
      <c r="F32">
        <v>147158.26745713656</v>
      </c>
      <c r="G32">
        <v>211790</v>
      </c>
      <c r="H32" t="s">
        <v>26</v>
      </c>
      <c r="I32" t="s">
        <v>36</v>
      </c>
    </row>
    <row r="33" spans="1:9" x14ac:dyDescent="0.25">
      <c r="A33" t="s">
        <v>43</v>
      </c>
      <c r="B33" s="10">
        <v>195653.04541275316</v>
      </c>
      <c r="C33" s="10">
        <v>183845.97100100003</v>
      </c>
      <c r="D33" s="10">
        <v>379499.01641375315</v>
      </c>
      <c r="E33">
        <v>57457.069713540724</v>
      </c>
      <c r="F33">
        <v>135484.93028645928</v>
      </c>
      <c r="G33">
        <v>192942</v>
      </c>
      <c r="H33" t="s">
        <v>26</v>
      </c>
      <c r="I33" t="s">
        <v>36</v>
      </c>
    </row>
    <row r="34" spans="1:9" x14ac:dyDescent="0.25">
      <c r="A34" t="s">
        <v>44</v>
      </c>
      <c r="B34" s="11">
        <v>180825.97105468911</v>
      </c>
      <c r="C34" s="11">
        <v>242095.18337180003</v>
      </c>
      <c r="D34" s="11">
        <v>422921.15442648914</v>
      </c>
      <c r="E34">
        <v>60311.1230066551</v>
      </c>
      <c r="F34">
        <v>147177.87699334489</v>
      </c>
      <c r="G34">
        <v>207489</v>
      </c>
      <c r="H34" t="s">
        <v>26</v>
      </c>
      <c r="I34" t="s">
        <v>36</v>
      </c>
    </row>
    <row r="35" spans="1:9" x14ac:dyDescent="0.25">
      <c r="A35" t="s">
        <v>45</v>
      </c>
      <c r="B35" s="10">
        <v>187609.5138421577</v>
      </c>
      <c r="C35" s="10">
        <v>183754.43181060001</v>
      </c>
      <c r="D35" s="10">
        <v>371363.94565275771</v>
      </c>
      <c r="E35">
        <v>67896.516749915492</v>
      </c>
      <c r="F35">
        <v>151757.48325008451</v>
      </c>
      <c r="G35">
        <v>219654</v>
      </c>
      <c r="H35" t="s">
        <v>26</v>
      </c>
      <c r="I35" t="s">
        <v>36</v>
      </c>
    </row>
    <row r="36" spans="1:9" x14ac:dyDescent="0.25">
      <c r="A36" t="s">
        <v>46</v>
      </c>
      <c r="B36" s="11">
        <v>173847.45309007016</v>
      </c>
      <c r="C36" s="11">
        <v>130867.17547480001</v>
      </c>
      <c r="D36" s="11">
        <v>304714.62856487016</v>
      </c>
      <c r="E36">
        <v>63537.722837064393</v>
      </c>
      <c r="F36">
        <v>146553.27716293561</v>
      </c>
      <c r="G36">
        <v>210091</v>
      </c>
      <c r="H36" t="s">
        <v>26</v>
      </c>
      <c r="I36" t="s">
        <v>36</v>
      </c>
    </row>
    <row r="37" spans="1:9" x14ac:dyDescent="0.25">
      <c r="A37" t="s">
        <v>47</v>
      </c>
      <c r="B37" s="10">
        <v>171192.08944345365</v>
      </c>
      <c r="C37" s="10">
        <v>239763.72378919995</v>
      </c>
      <c r="D37" s="10">
        <v>410955.8132326536</v>
      </c>
      <c r="E37">
        <v>63232.496343615181</v>
      </c>
      <c r="F37">
        <v>145803.50365638483</v>
      </c>
      <c r="G37">
        <v>209036</v>
      </c>
      <c r="H37" t="s">
        <v>26</v>
      </c>
      <c r="I37" t="s">
        <v>36</v>
      </c>
    </row>
    <row r="38" spans="1:9" x14ac:dyDescent="0.25">
      <c r="A38" t="s">
        <v>48</v>
      </c>
      <c r="B38" s="11">
        <v>184631.81665321189</v>
      </c>
      <c r="C38" s="11">
        <v>224633.6191483</v>
      </c>
      <c r="D38" s="11">
        <v>409265.43580151186</v>
      </c>
      <c r="E38">
        <v>69768.597026123723</v>
      </c>
      <c r="F38">
        <v>167325.40297387628</v>
      </c>
      <c r="G38">
        <v>237094</v>
      </c>
      <c r="H38" t="s">
        <v>26</v>
      </c>
      <c r="I38" t="s">
        <v>36</v>
      </c>
    </row>
    <row r="39" spans="1:9" x14ac:dyDescent="0.25">
      <c r="A39" t="s">
        <v>49</v>
      </c>
      <c r="B39" s="10">
        <v>207682.56780151516</v>
      </c>
      <c r="C39" s="10">
        <v>260121.38941910004</v>
      </c>
      <c r="D39" s="10">
        <v>467803.95722061524</v>
      </c>
      <c r="E39">
        <v>70240.548554754307</v>
      </c>
      <c r="F39">
        <v>162894.45144524571</v>
      </c>
      <c r="G39">
        <v>233135</v>
      </c>
      <c r="H39" t="s">
        <v>26</v>
      </c>
      <c r="I39" t="s">
        <v>36</v>
      </c>
    </row>
    <row r="40" spans="1:9" x14ac:dyDescent="0.25">
      <c r="A40" t="s">
        <v>50</v>
      </c>
      <c r="B40" s="11">
        <v>214944.29344075895</v>
      </c>
      <c r="C40" s="11">
        <v>192251.02876060002</v>
      </c>
      <c r="D40" s="11">
        <v>407195.32220135897</v>
      </c>
      <c r="E40">
        <v>69193.337962206773</v>
      </c>
      <c r="F40">
        <v>171617.66203779323</v>
      </c>
      <c r="G40">
        <v>240811</v>
      </c>
      <c r="H40" t="s">
        <v>26</v>
      </c>
      <c r="I40" t="s">
        <v>36</v>
      </c>
    </row>
    <row r="41" spans="1:9" x14ac:dyDescent="0.25">
      <c r="A41" t="s">
        <v>51</v>
      </c>
      <c r="B41" s="10">
        <v>230586.61033712144</v>
      </c>
      <c r="C41" s="10">
        <v>199010.17447719999</v>
      </c>
      <c r="D41" s="10">
        <v>429596.78481432144</v>
      </c>
      <c r="E41">
        <v>64275.232822804988</v>
      </c>
      <c r="F41">
        <v>165323.767177195</v>
      </c>
      <c r="G41">
        <v>229599</v>
      </c>
      <c r="H41" t="s">
        <v>26</v>
      </c>
      <c r="I41" t="s">
        <v>36</v>
      </c>
    </row>
    <row r="42" spans="1:9" x14ac:dyDescent="0.25">
      <c r="A42" t="s">
        <v>52</v>
      </c>
      <c r="B42" s="11">
        <v>222359.82779773106</v>
      </c>
      <c r="C42" s="11">
        <v>172811.7292454</v>
      </c>
      <c r="D42" s="11">
        <v>395171.55704313109</v>
      </c>
      <c r="E42">
        <v>63393.867028975976</v>
      </c>
      <c r="F42">
        <v>162692.13297102402</v>
      </c>
      <c r="G42">
        <v>226086</v>
      </c>
      <c r="H42" t="s">
        <v>26</v>
      </c>
      <c r="I42" t="s">
        <v>36</v>
      </c>
    </row>
    <row r="43" spans="1:9" x14ac:dyDescent="0.25">
      <c r="A43" t="s">
        <v>53</v>
      </c>
      <c r="B43" s="10">
        <v>189703.1927910728</v>
      </c>
      <c r="C43" s="10">
        <v>170965.93783860002</v>
      </c>
      <c r="D43" s="10">
        <v>360669.13062967279</v>
      </c>
      <c r="E43">
        <v>59528.111960601876</v>
      </c>
      <c r="F43">
        <v>144013.88803939812</v>
      </c>
      <c r="G43">
        <v>203542</v>
      </c>
      <c r="H43" t="s">
        <v>26</v>
      </c>
      <c r="I43" t="s">
        <v>36</v>
      </c>
    </row>
    <row r="44" spans="1:9" x14ac:dyDescent="0.25">
      <c r="A44" t="s">
        <v>54</v>
      </c>
      <c r="B44" s="11">
        <v>193740.56448291312</v>
      </c>
      <c r="C44" s="11">
        <v>172630.73082150001</v>
      </c>
      <c r="D44" s="11">
        <v>366371.29530441313</v>
      </c>
      <c r="E44">
        <v>72500.109338994545</v>
      </c>
      <c r="F44">
        <v>169870.89066100545</v>
      </c>
      <c r="G44">
        <v>242371</v>
      </c>
      <c r="H44" t="s">
        <v>26</v>
      </c>
      <c r="I44" t="s">
        <v>36</v>
      </c>
    </row>
    <row r="45" spans="1:9" x14ac:dyDescent="0.25">
      <c r="A45" t="s">
        <v>55</v>
      </c>
      <c r="B45" s="10">
        <v>191042.13918432366</v>
      </c>
      <c r="C45" s="10">
        <v>146494.03005910001</v>
      </c>
      <c r="D45" s="10">
        <v>337536.16924342368</v>
      </c>
      <c r="E45">
        <v>71742.319487668967</v>
      </c>
      <c r="F45">
        <v>168782.68051233102</v>
      </c>
      <c r="G45">
        <v>240525</v>
      </c>
      <c r="H45" t="s">
        <v>26</v>
      </c>
      <c r="I45" t="s">
        <v>36</v>
      </c>
    </row>
    <row r="46" spans="1:9" x14ac:dyDescent="0.25">
      <c r="A46" t="s">
        <v>56</v>
      </c>
      <c r="B46" s="11">
        <v>210251.44695523786</v>
      </c>
      <c r="C46" s="11">
        <v>109729.59266990001</v>
      </c>
      <c r="D46" s="11">
        <v>319981.03962513787</v>
      </c>
      <c r="E46">
        <v>75006.710526315786</v>
      </c>
      <c r="F46">
        <v>190133.28947368421</v>
      </c>
      <c r="G46">
        <v>265140</v>
      </c>
      <c r="H46" t="s">
        <v>26</v>
      </c>
      <c r="I46" t="s">
        <v>36</v>
      </c>
    </row>
    <row r="47" spans="1:9" x14ac:dyDescent="0.25">
      <c r="A47" t="s">
        <v>57</v>
      </c>
      <c r="B47" s="10">
        <v>202511.25346637861</v>
      </c>
      <c r="C47" s="10">
        <v>155902.84364089998</v>
      </c>
      <c r="D47" s="10">
        <v>358414.09710727859</v>
      </c>
      <c r="E47">
        <v>70754.142688000517</v>
      </c>
      <c r="F47">
        <v>185858.85731199948</v>
      </c>
      <c r="G47">
        <v>256613</v>
      </c>
      <c r="H47" t="s">
        <v>26</v>
      </c>
      <c r="I47" t="s">
        <v>36</v>
      </c>
    </row>
    <row r="48" spans="1:9" x14ac:dyDescent="0.25">
      <c r="A48" t="s">
        <v>37</v>
      </c>
      <c r="B48" s="11">
        <v>114422.90587452879</v>
      </c>
      <c r="C48" s="11">
        <v>124407.4270904</v>
      </c>
      <c r="D48" s="11">
        <v>238830.33296492879</v>
      </c>
      <c r="E48">
        <v>78557.017566881259</v>
      </c>
      <c r="F48">
        <v>184644.98243311874</v>
      </c>
      <c r="G48">
        <v>263202</v>
      </c>
      <c r="H48" t="s">
        <v>26</v>
      </c>
      <c r="I48" t="s">
        <v>36</v>
      </c>
    </row>
    <row r="49" spans="1:12" x14ac:dyDescent="0.25">
      <c r="A49" t="s">
        <v>37</v>
      </c>
      <c r="B49" s="11">
        <v>114422.90587452879</v>
      </c>
      <c r="C49" s="11">
        <v>124407.4270904</v>
      </c>
      <c r="D49">
        <v>78557.017566881259</v>
      </c>
      <c r="E49">
        <v>184644.98243311874</v>
      </c>
      <c r="F49">
        <v>263202</v>
      </c>
      <c r="G49" t="s">
        <v>26</v>
      </c>
      <c r="H49" t="s">
        <v>36</v>
      </c>
    </row>
    <row r="52" spans="1:12" x14ac:dyDescent="0.25">
      <c r="A52" t="s">
        <v>27</v>
      </c>
      <c r="B52" t="s">
        <v>28</v>
      </c>
      <c r="C52" t="s">
        <v>29</v>
      </c>
      <c r="D52" t="s">
        <v>30</v>
      </c>
      <c r="E52" t="s">
        <v>14</v>
      </c>
      <c r="F52" t="s">
        <v>15</v>
      </c>
      <c r="G52" t="s">
        <v>17</v>
      </c>
      <c r="H52" t="s">
        <v>16</v>
      </c>
      <c r="I52" t="s">
        <v>18</v>
      </c>
    </row>
    <row r="53" spans="1:12" x14ac:dyDescent="0.25">
      <c r="A53" t="s">
        <v>58</v>
      </c>
      <c r="B53" s="10">
        <v>278854.88649852743</v>
      </c>
      <c r="C53" s="10">
        <v>588922.81544669997</v>
      </c>
      <c r="D53" s="10">
        <v>306210.82247374224</v>
      </c>
      <c r="E53">
        <v>312633</v>
      </c>
      <c r="F53">
        <v>615279</v>
      </c>
      <c r="G53">
        <v>927912</v>
      </c>
      <c r="H53" t="s">
        <v>26</v>
      </c>
      <c r="I53" t="s">
        <v>33</v>
      </c>
      <c r="L53">
        <f>CORREL(B53:B74,E53:E74)</f>
        <v>0.24438736902997824</v>
      </c>
    </row>
    <row r="54" spans="1:12" x14ac:dyDescent="0.25">
      <c r="A54" t="s">
        <v>38</v>
      </c>
      <c r="B54" s="11">
        <v>271614.68336888542</v>
      </c>
      <c r="C54" s="11">
        <v>599174.07935329992</v>
      </c>
      <c r="D54" s="11">
        <v>326288.62438727182</v>
      </c>
      <c r="E54">
        <v>337077</v>
      </c>
      <c r="F54">
        <v>670646</v>
      </c>
      <c r="G54">
        <v>1007723</v>
      </c>
      <c r="H54" t="s">
        <v>26</v>
      </c>
      <c r="I54" t="s">
        <v>33</v>
      </c>
      <c r="L54">
        <f>CORREL(C53:C74,F53:F74)</f>
        <v>0.56250138074434264</v>
      </c>
    </row>
    <row r="55" spans="1:12" x14ac:dyDescent="0.25">
      <c r="A55" t="s">
        <v>39</v>
      </c>
      <c r="B55" s="10">
        <v>290101.05416149343</v>
      </c>
      <c r="C55" s="10">
        <v>562888.0487705</v>
      </c>
      <c r="D55" s="10">
        <v>368635.83010039211</v>
      </c>
      <c r="E55">
        <v>328701</v>
      </c>
      <c r="F55">
        <v>649235</v>
      </c>
      <c r="G55">
        <v>977936</v>
      </c>
      <c r="H55" t="s">
        <v>26</v>
      </c>
      <c r="I55" t="s">
        <v>33</v>
      </c>
    </row>
    <row r="56" spans="1:12" x14ac:dyDescent="0.25">
      <c r="A56" t="s">
        <v>40</v>
      </c>
      <c r="B56" s="11">
        <v>288734.28131809295</v>
      </c>
      <c r="C56" s="11">
        <v>492207.06215000001</v>
      </c>
      <c r="D56" s="11">
        <v>292323.95164922869</v>
      </c>
      <c r="E56">
        <v>324091</v>
      </c>
      <c r="F56">
        <v>617796</v>
      </c>
      <c r="G56">
        <v>941887</v>
      </c>
      <c r="H56" t="s">
        <v>26</v>
      </c>
      <c r="I56" t="s">
        <v>33</v>
      </c>
    </row>
    <row r="57" spans="1:12" x14ac:dyDescent="0.25">
      <c r="A57" t="s">
        <v>41</v>
      </c>
      <c r="B57" s="10">
        <v>314263.71146016067</v>
      </c>
      <c r="C57" s="10">
        <v>632212.27275809995</v>
      </c>
      <c r="D57" s="10">
        <v>359252.73085357755</v>
      </c>
      <c r="E57">
        <v>336880</v>
      </c>
      <c r="F57">
        <v>696009</v>
      </c>
      <c r="G57">
        <v>1032889</v>
      </c>
      <c r="H57" t="s">
        <v>26</v>
      </c>
      <c r="I57" t="s">
        <v>33</v>
      </c>
    </row>
    <row r="58" spans="1:12" x14ac:dyDescent="0.25">
      <c r="A58" t="s">
        <v>42</v>
      </c>
      <c r="B58" s="11">
        <v>326567.96841133299</v>
      </c>
      <c r="C58" s="11">
        <v>585471.13397670002</v>
      </c>
      <c r="D58" s="11">
        <v>298009.43028003891</v>
      </c>
      <c r="E58">
        <v>351823</v>
      </c>
      <c r="F58">
        <v>636920</v>
      </c>
      <c r="G58">
        <v>988743</v>
      </c>
      <c r="H58" t="s">
        <v>26</v>
      </c>
      <c r="I58" t="s">
        <v>33</v>
      </c>
    </row>
    <row r="59" spans="1:12" x14ac:dyDescent="0.25">
      <c r="A59" t="s">
        <v>43</v>
      </c>
      <c r="B59" s="10">
        <v>328249.59140086902</v>
      </c>
      <c r="C59" s="10">
        <v>670206.77295169991</v>
      </c>
      <c r="D59" s="10">
        <v>394454.19777015736</v>
      </c>
      <c r="E59">
        <v>350990</v>
      </c>
      <c r="F59">
        <v>662603</v>
      </c>
      <c r="G59">
        <v>1013593</v>
      </c>
      <c r="H59" t="s">
        <v>26</v>
      </c>
      <c r="I59" t="s">
        <v>33</v>
      </c>
    </row>
    <row r="60" spans="1:12" x14ac:dyDescent="0.25">
      <c r="A60" t="s">
        <v>44</v>
      </c>
      <c r="B60" s="11">
        <v>293017.91361022886</v>
      </c>
      <c r="C60" s="11">
        <v>649799.45263890014</v>
      </c>
      <c r="D60" s="11">
        <v>270938.27824833919</v>
      </c>
      <c r="E60">
        <v>342758</v>
      </c>
      <c r="F60">
        <v>678186</v>
      </c>
      <c r="G60">
        <v>1020944</v>
      </c>
      <c r="H60" t="s">
        <v>26</v>
      </c>
      <c r="I60" t="s">
        <v>33</v>
      </c>
    </row>
    <row r="61" spans="1:12" x14ac:dyDescent="0.25">
      <c r="A61" t="s">
        <v>45</v>
      </c>
      <c r="B61" s="10">
        <v>294820.16573126358</v>
      </c>
      <c r="C61" s="10">
        <v>616232.90392730001</v>
      </c>
      <c r="D61" s="10">
        <v>368656.08599950775</v>
      </c>
      <c r="E61">
        <v>332187</v>
      </c>
      <c r="F61">
        <v>643703</v>
      </c>
      <c r="G61">
        <v>975890</v>
      </c>
      <c r="H61" t="s">
        <v>26</v>
      </c>
      <c r="I61" t="s">
        <v>33</v>
      </c>
    </row>
    <row r="62" spans="1:12" x14ac:dyDescent="0.25">
      <c r="A62" t="s">
        <v>46</v>
      </c>
      <c r="B62" s="11">
        <v>265315.01643814973</v>
      </c>
      <c r="C62" s="11">
        <v>544452.12843769998</v>
      </c>
      <c r="D62" s="11">
        <v>303443.90565150231</v>
      </c>
      <c r="E62">
        <v>316922</v>
      </c>
      <c r="F62">
        <v>604334</v>
      </c>
      <c r="G62">
        <v>921256</v>
      </c>
      <c r="H62" t="s">
        <v>26</v>
      </c>
      <c r="I62" t="s">
        <v>33</v>
      </c>
    </row>
    <row r="63" spans="1:12" x14ac:dyDescent="0.25">
      <c r="A63" t="s">
        <v>47</v>
      </c>
      <c r="B63" s="10">
        <v>265683.75782704627</v>
      </c>
      <c r="C63" s="10">
        <v>560880.95919540001</v>
      </c>
      <c r="D63" s="10">
        <v>287912.63599208067</v>
      </c>
      <c r="E63">
        <v>306700</v>
      </c>
      <c r="F63">
        <v>604516</v>
      </c>
      <c r="G63">
        <v>911216</v>
      </c>
      <c r="H63" t="s">
        <v>26</v>
      </c>
      <c r="I63" t="s">
        <v>33</v>
      </c>
    </row>
    <row r="64" spans="1:12" x14ac:dyDescent="0.25">
      <c r="A64" t="s">
        <v>48</v>
      </c>
      <c r="B64" s="11">
        <v>314607.78149197571</v>
      </c>
      <c r="C64" s="11">
        <v>549804.75939170003</v>
      </c>
      <c r="D64" s="11">
        <v>346205.25630986592</v>
      </c>
      <c r="E64">
        <v>308862</v>
      </c>
      <c r="F64">
        <v>584119</v>
      </c>
      <c r="G64">
        <v>892981</v>
      </c>
      <c r="H64" t="s">
        <v>26</v>
      </c>
      <c r="I64" t="s">
        <v>33</v>
      </c>
    </row>
    <row r="65" spans="1:15" x14ac:dyDescent="0.25">
      <c r="A65" t="s">
        <v>49</v>
      </c>
      <c r="B65" s="10">
        <v>312840.19813924935</v>
      </c>
      <c r="C65" s="10">
        <v>542201.54626750003</v>
      </c>
      <c r="D65" s="10">
        <v>317280.53965928813</v>
      </c>
      <c r="E65">
        <v>309182</v>
      </c>
      <c r="F65">
        <v>594876</v>
      </c>
      <c r="G65">
        <v>904058</v>
      </c>
      <c r="H65" t="s">
        <v>26</v>
      </c>
      <c r="I65" t="s">
        <v>33</v>
      </c>
    </row>
    <row r="66" spans="1:15" x14ac:dyDescent="0.25">
      <c r="A66" t="s">
        <v>50</v>
      </c>
      <c r="B66" s="11">
        <v>328858.05515785806</v>
      </c>
      <c r="C66" s="11">
        <v>518962.83209089999</v>
      </c>
      <c r="D66" s="11">
        <v>312647.1686513141</v>
      </c>
      <c r="E66">
        <v>287804</v>
      </c>
      <c r="F66">
        <v>572092</v>
      </c>
      <c r="G66">
        <v>859896</v>
      </c>
      <c r="H66" t="s">
        <v>26</v>
      </c>
      <c r="I66" t="s">
        <v>33</v>
      </c>
    </row>
    <row r="67" spans="1:15" x14ac:dyDescent="0.25">
      <c r="A67" t="s">
        <v>51</v>
      </c>
      <c r="B67" s="10">
        <v>336370.37875616614</v>
      </c>
      <c r="C67" s="10">
        <v>556039.97372630006</v>
      </c>
      <c r="D67" s="10">
        <v>320143.19059899438</v>
      </c>
      <c r="E67">
        <v>284452</v>
      </c>
      <c r="F67">
        <v>556941</v>
      </c>
      <c r="G67">
        <v>841393</v>
      </c>
      <c r="H67" t="s">
        <v>26</v>
      </c>
      <c r="I67" t="s">
        <v>33</v>
      </c>
    </row>
    <row r="68" spans="1:15" x14ac:dyDescent="0.25">
      <c r="A68" t="s">
        <v>52</v>
      </c>
      <c r="B68" s="11">
        <v>341236.03180593456</v>
      </c>
      <c r="C68" s="11">
        <v>548634.50090059999</v>
      </c>
      <c r="D68" s="11">
        <v>350772.19223337906</v>
      </c>
      <c r="E68">
        <v>294092</v>
      </c>
      <c r="F68">
        <v>580664</v>
      </c>
      <c r="G68">
        <v>874756</v>
      </c>
      <c r="H68" t="s">
        <v>26</v>
      </c>
      <c r="I68" t="s">
        <v>33</v>
      </c>
    </row>
    <row r="69" spans="1:15" x14ac:dyDescent="0.25">
      <c r="A69" t="s">
        <v>53</v>
      </c>
      <c r="B69" s="10">
        <v>314136.96526352462</v>
      </c>
      <c r="C69" s="10">
        <v>593628.28825590003</v>
      </c>
      <c r="D69" s="10">
        <v>277771.74234475894</v>
      </c>
      <c r="E69">
        <v>293895</v>
      </c>
      <c r="F69">
        <v>564954</v>
      </c>
      <c r="G69">
        <v>858849</v>
      </c>
      <c r="H69" t="s">
        <v>26</v>
      </c>
      <c r="I69" t="s">
        <v>33</v>
      </c>
    </row>
    <row r="70" spans="1:15" x14ac:dyDescent="0.25">
      <c r="A70" t="s">
        <v>54</v>
      </c>
      <c r="B70" s="11">
        <v>355368.51148725767</v>
      </c>
      <c r="C70" s="11">
        <v>598847.09257400001</v>
      </c>
      <c r="D70" s="11">
        <v>333733.25015982857</v>
      </c>
      <c r="E70">
        <v>285726</v>
      </c>
      <c r="F70">
        <v>571179</v>
      </c>
      <c r="G70">
        <v>856905</v>
      </c>
      <c r="H70" t="s">
        <v>26</v>
      </c>
      <c r="I70" t="s">
        <v>33</v>
      </c>
    </row>
    <row r="71" spans="1:15" x14ac:dyDescent="0.25">
      <c r="A71" t="s">
        <v>55</v>
      </c>
      <c r="B71" s="10">
        <v>305088.53527981753</v>
      </c>
      <c r="C71" s="10">
        <v>612349.29974080005</v>
      </c>
      <c r="D71" s="10">
        <v>333687.32950257108</v>
      </c>
      <c r="E71">
        <v>278372</v>
      </c>
      <c r="F71">
        <v>529078</v>
      </c>
      <c r="G71">
        <v>807450</v>
      </c>
      <c r="H71" t="s">
        <v>26</v>
      </c>
      <c r="I71" t="s">
        <v>33</v>
      </c>
    </row>
    <row r="72" spans="1:15" x14ac:dyDescent="0.25">
      <c r="A72" t="s">
        <v>56</v>
      </c>
      <c r="B72" s="11">
        <v>287725.2810501986</v>
      </c>
      <c r="C72" s="11">
        <v>485855.37697779998</v>
      </c>
      <c r="D72" s="11">
        <v>259832.91646754526</v>
      </c>
      <c r="E72">
        <v>256796</v>
      </c>
      <c r="F72">
        <v>521203</v>
      </c>
      <c r="G72">
        <v>777999</v>
      </c>
      <c r="H72" t="s">
        <v>26</v>
      </c>
      <c r="I72" t="s">
        <v>33</v>
      </c>
    </row>
    <row r="73" spans="1:15" x14ac:dyDescent="0.25">
      <c r="A73" t="s">
        <v>57</v>
      </c>
      <c r="B73" s="10">
        <v>273824.3057168377</v>
      </c>
      <c r="C73" s="10">
        <v>497739.18973089999</v>
      </c>
      <c r="D73" s="10">
        <v>312920.24364515371</v>
      </c>
      <c r="E73">
        <v>252485</v>
      </c>
      <c r="F73">
        <v>489422</v>
      </c>
      <c r="G73">
        <v>741907</v>
      </c>
      <c r="H73" t="s">
        <v>26</v>
      </c>
      <c r="I73" t="s">
        <v>33</v>
      </c>
    </row>
    <row r="74" spans="1:15" x14ac:dyDescent="0.25">
      <c r="A74" t="s">
        <v>37</v>
      </c>
      <c r="B74" s="11">
        <v>171372.8937099725</v>
      </c>
      <c r="C74" s="11">
        <v>332933.93242769997</v>
      </c>
      <c r="D74" s="11">
        <v>183583.163637491</v>
      </c>
      <c r="E74">
        <v>256873.99999999997</v>
      </c>
      <c r="F74">
        <v>554517</v>
      </c>
      <c r="G74">
        <v>811391</v>
      </c>
      <c r="H74" t="s">
        <v>26</v>
      </c>
      <c r="I74" t="s">
        <v>33</v>
      </c>
    </row>
    <row r="76" spans="1:15" x14ac:dyDescent="0.25">
      <c r="A76" t="s">
        <v>58</v>
      </c>
      <c r="B76" s="10">
        <v>171977.06177101904</v>
      </c>
      <c r="C76" s="10">
        <v>109570.4807674351</v>
      </c>
      <c r="D76" s="10">
        <v>281547.54253845417</v>
      </c>
      <c r="E76">
        <v>153486.0324</v>
      </c>
      <c r="F76">
        <v>308264.96759999997</v>
      </c>
      <c r="G76">
        <v>461751</v>
      </c>
      <c r="H76" t="s">
        <v>32</v>
      </c>
      <c r="I76" t="s">
        <v>31</v>
      </c>
      <c r="M76" t="s">
        <v>15</v>
      </c>
      <c r="N76" t="s">
        <v>29</v>
      </c>
      <c r="O76" t="s">
        <v>87</v>
      </c>
    </row>
    <row r="77" spans="1:15" x14ac:dyDescent="0.25">
      <c r="A77" t="s">
        <v>38</v>
      </c>
      <c r="B77" s="11">
        <v>129816.03816151773</v>
      </c>
      <c r="C77" s="11">
        <v>103478.01071809857</v>
      </c>
      <c r="D77" s="11">
        <v>233294.04887961631</v>
      </c>
      <c r="E77">
        <v>147819.12160000001</v>
      </c>
      <c r="F77">
        <v>247524.87839999999</v>
      </c>
      <c r="G77">
        <v>395344</v>
      </c>
      <c r="H77" t="s">
        <v>32</v>
      </c>
      <c r="I77" t="s">
        <v>31</v>
      </c>
      <c r="L77">
        <v>1</v>
      </c>
      <c r="M77">
        <f>SUM(F76:F79)</f>
        <v>1024805.2712</v>
      </c>
      <c r="N77" s="12">
        <f>SUM(C76:C79)</f>
        <v>421946.31706324912</v>
      </c>
      <c r="O77">
        <v>1393000</v>
      </c>
    </row>
    <row r="78" spans="1:15" x14ac:dyDescent="0.25">
      <c r="A78" t="s">
        <v>39</v>
      </c>
      <c r="B78" s="10">
        <v>134041.31549436302</v>
      </c>
      <c r="C78" s="10">
        <v>97096.013321773193</v>
      </c>
      <c r="D78" s="10">
        <v>231137.32881613623</v>
      </c>
      <c r="E78">
        <v>143211.09719999999</v>
      </c>
      <c r="F78">
        <v>242386.90280000001</v>
      </c>
      <c r="G78">
        <v>385598</v>
      </c>
      <c r="H78" t="s">
        <v>32</v>
      </c>
      <c r="I78" t="s">
        <v>31</v>
      </c>
      <c r="L78">
        <v>2</v>
      </c>
      <c r="M78" s="12">
        <f>SUM(F80:F84)</f>
        <v>1084259.9271999998</v>
      </c>
      <c r="N78" s="12">
        <f>SUM(C80:C84)</f>
        <v>801138.73633300164</v>
      </c>
      <c r="O78">
        <v>1279000</v>
      </c>
    </row>
    <row r="79" spans="1:15" x14ac:dyDescent="0.25">
      <c r="A79" t="s">
        <v>40</v>
      </c>
      <c r="B79" s="11">
        <v>136883.98097611725</v>
      </c>
      <c r="C79" s="11">
        <v>111801.81225594225</v>
      </c>
      <c r="D79" s="11">
        <v>248685.79323205951</v>
      </c>
      <c r="E79">
        <v>138783.47760000001</v>
      </c>
      <c r="F79">
        <v>226628.52239999999</v>
      </c>
      <c r="G79">
        <v>365412</v>
      </c>
      <c r="H79" t="s">
        <v>32</v>
      </c>
      <c r="I79" t="s">
        <v>31</v>
      </c>
      <c r="L79">
        <v>3</v>
      </c>
      <c r="M79" s="12">
        <f>SUM(F85:F88)</f>
        <v>812266.33559999987</v>
      </c>
      <c r="N79" s="12">
        <f>SUM(C85:C88)</f>
        <v>510378.14248828613</v>
      </c>
      <c r="O79">
        <v>1204000</v>
      </c>
    </row>
    <row r="80" spans="1:15" x14ac:dyDescent="0.25">
      <c r="A80" t="s">
        <v>41</v>
      </c>
      <c r="B80" s="10">
        <v>126115.89431950852</v>
      </c>
      <c r="C80" s="10">
        <v>128983.51830160408</v>
      </c>
      <c r="D80" s="10">
        <v>255099.4126211126</v>
      </c>
      <c r="E80">
        <v>131967.78750000001</v>
      </c>
      <c r="F80">
        <v>213407.21249999999</v>
      </c>
      <c r="G80">
        <v>345375</v>
      </c>
      <c r="H80" t="s">
        <v>32</v>
      </c>
      <c r="I80" t="s">
        <v>31</v>
      </c>
      <c r="L80">
        <v>4</v>
      </c>
      <c r="M80" s="12">
        <f>SUM(F89:F92)</f>
        <v>901666.29550000001</v>
      </c>
      <c r="N80" s="12">
        <f>SUM(C89:C92)</f>
        <v>338737.17448732338</v>
      </c>
      <c r="O80">
        <v>1111000</v>
      </c>
    </row>
    <row r="81" spans="1:15" x14ac:dyDescent="0.25">
      <c r="A81" t="s">
        <v>42</v>
      </c>
      <c r="B81" s="11">
        <v>128351.55763767281</v>
      </c>
      <c r="C81" s="11">
        <v>167612.38731206051</v>
      </c>
      <c r="D81" s="11">
        <v>295963.94494973333</v>
      </c>
      <c r="E81">
        <v>138397.42979999998</v>
      </c>
      <c r="F81">
        <v>227056.57020000002</v>
      </c>
      <c r="G81">
        <v>365454</v>
      </c>
      <c r="H81" t="s">
        <v>32</v>
      </c>
      <c r="I81" t="s">
        <v>31</v>
      </c>
      <c r="L81">
        <v>5</v>
      </c>
      <c r="M81" s="12">
        <f>SUM(G94:G97)</f>
        <v>1322476</v>
      </c>
      <c r="N81" s="12">
        <f>SUM(C94:C97)</f>
        <v>509504.43870804401</v>
      </c>
      <c r="O81">
        <v>1618000</v>
      </c>
    </row>
    <row r="82" spans="1:15" x14ac:dyDescent="0.25">
      <c r="A82" t="s">
        <v>43</v>
      </c>
      <c r="B82" s="10">
        <v>118207.88868526743</v>
      </c>
      <c r="C82" s="10">
        <v>227801.7032034967</v>
      </c>
      <c r="D82" s="10">
        <v>346009.59188876412</v>
      </c>
      <c r="E82">
        <v>136703.4736</v>
      </c>
      <c r="F82">
        <v>214448.5264</v>
      </c>
      <c r="G82">
        <v>351152</v>
      </c>
      <c r="H82" t="s">
        <v>32</v>
      </c>
      <c r="I82" t="s">
        <v>31</v>
      </c>
    </row>
    <row r="83" spans="1:15" x14ac:dyDescent="0.25">
      <c r="A83" t="s">
        <v>44</v>
      </c>
      <c r="B83" s="11">
        <v>109516.12417144504</v>
      </c>
      <c r="C83" s="11">
        <v>146338.24370562658</v>
      </c>
      <c r="D83" s="11">
        <v>255854.36787707161</v>
      </c>
      <c r="E83">
        <v>133057.92500000002</v>
      </c>
      <c r="F83">
        <v>212547.07499999998</v>
      </c>
      <c r="G83">
        <v>345605</v>
      </c>
      <c r="H83" t="s">
        <v>32</v>
      </c>
      <c r="I83" t="s">
        <v>31</v>
      </c>
    </row>
    <row r="84" spans="1:15" x14ac:dyDescent="0.25">
      <c r="A84" t="s">
        <v>45</v>
      </c>
      <c r="B84" s="10">
        <v>136013.87098770347</v>
      </c>
      <c r="C84" s="10">
        <v>130402.8838102138</v>
      </c>
      <c r="D84" s="10">
        <v>266416.75479791727</v>
      </c>
      <c r="E84">
        <v>138668.45689999999</v>
      </c>
      <c r="F84">
        <v>216800.54310000001</v>
      </c>
      <c r="G84">
        <v>355469</v>
      </c>
      <c r="H84" t="s">
        <v>32</v>
      </c>
      <c r="I84" t="s">
        <v>31</v>
      </c>
    </row>
    <row r="85" spans="1:15" x14ac:dyDescent="0.25">
      <c r="A85" t="s">
        <v>46</v>
      </c>
      <c r="B85" s="11">
        <v>125021.44840781917</v>
      </c>
      <c r="C85" s="11">
        <v>102062.9971314616</v>
      </c>
      <c r="D85" s="11">
        <v>227084.44553928077</v>
      </c>
      <c r="E85">
        <v>138901.66750000001</v>
      </c>
      <c r="F85">
        <v>240093.33249999999</v>
      </c>
      <c r="G85">
        <v>378995</v>
      </c>
      <c r="H85" t="s">
        <v>32</v>
      </c>
      <c r="I85" t="s">
        <v>31</v>
      </c>
    </row>
    <row r="86" spans="1:15" x14ac:dyDescent="0.25">
      <c r="A86" t="s">
        <v>47</v>
      </c>
      <c r="B86" s="10">
        <v>100504.13955645935</v>
      </c>
      <c r="C86" s="10">
        <v>147974.26570856708</v>
      </c>
      <c r="D86" s="10">
        <v>248478.40526502643</v>
      </c>
      <c r="E86">
        <v>120374.39580000001</v>
      </c>
      <c r="F86">
        <v>192367.6042</v>
      </c>
      <c r="G86">
        <v>312742</v>
      </c>
      <c r="H86" t="s">
        <v>32</v>
      </c>
      <c r="I86" t="s">
        <v>31</v>
      </c>
    </row>
    <row r="87" spans="1:15" x14ac:dyDescent="0.25">
      <c r="A87" t="s">
        <v>48</v>
      </c>
      <c r="B87" s="11">
        <v>112128.36471099923</v>
      </c>
      <c r="C87" s="11">
        <v>166199.52162982579</v>
      </c>
      <c r="D87" s="11">
        <v>278327.886340825</v>
      </c>
      <c r="E87">
        <v>123862.9</v>
      </c>
      <c r="F87">
        <v>202092.1</v>
      </c>
      <c r="G87">
        <v>325955</v>
      </c>
      <c r="H87" t="s">
        <v>32</v>
      </c>
      <c r="I87" t="s">
        <v>31</v>
      </c>
    </row>
    <row r="88" spans="1:15" x14ac:dyDescent="0.25">
      <c r="A88" t="s">
        <v>49</v>
      </c>
      <c r="B88" s="10">
        <v>109904.51796678413</v>
      </c>
      <c r="C88" s="10">
        <v>94141.358018431725</v>
      </c>
      <c r="D88" s="10">
        <v>204045.87598521585</v>
      </c>
      <c r="E88">
        <v>118623.70109999999</v>
      </c>
      <c r="F88">
        <v>177713.29889999999</v>
      </c>
      <c r="G88">
        <v>296337</v>
      </c>
      <c r="H88" t="s">
        <v>32</v>
      </c>
      <c r="I88" t="s">
        <v>31</v>
      </c>
    </row>
    <row r="89" spans="1:15" x14ac:dyDescent="0.25">
      <c r="A89" t="s">
        <v>50</v>
      </c>
      <c r="B89" s="11">
        <v>120758.80790440275</v>
      </c>
      <c r="C89" s="11">
        <v>90560.374548886291</v>
      </c>
      <c r="D89" s="11">
        <v>211319.18245328905</v>
      </c>
      <c r="E89">
        <v>127032.84</v>
      </c>
      <c r="F89">
        <v>205079.16</v>
      </c>
      <c r="G89">
        <v>332112</v>
      </c>
      <c r="H89" t="s">
        <v>32</v>
      </c>
      <c r="I89" t="s">
        <v>31</v>
      </c>
    </row>
    <row r="90" spans="1:15" x14ac:dyDescent="0.25">
      <c r="A90" t="s">
        <v>51</v>
      </c>
      <c r="B90" s="10">
        <v>144429.24707203236</v>
      </c>
      <c r="C90" s="10">
        <v>94458.851942484878</v>
      </c>
      <c r="D90" s="10">
        <v>238888.09901451724</v>
      </c>
      <c r="E90">
        <v>125530.69130000001</v>
      </c>
      <c r="F90">
        <v>219618.30869999999</v>
      </c>
      <c r="G90">
        <v>345149</v>
      </c>
      <c r="H90" t="s">
        <v>32</v>
      </c>
      <c r="I90" t="s">
        <v>31</v>
      </c>
    </row>
    <row r="91" spans="1:15" x14ac:dyDescent="0.25">
      <c r="A91" t="s">
        <v>52</v>
      </c>
      <c r="B91" s="11">
        <v>133640.22657782293</v>
      </c>
      <c r="C91" s="11">
        <v>94251.984047702135</v>
      </c>
      <c r="D91" s="11">
        <v>227892.21062552507</v>
      </c>
      <c r="E91">
        <v>123482.7748</v>
      </c>
      <c r="F91">
        <v>240988.22519999999</v>
      </c>
      <c r="G91">
        <v>364471</v>
      </c>
      <c r="H91" t="s">
        <v>32</v>
      </c>
      <c r="I91" t="s">
        <v>31</v>
      </c>
    </row>
    <row r="92" spans="1:15" x14ac:dyDescent="0.25">
      <c r="A92" t="s">
        <v>53</v>
      </c>
      <c r="B92" s="10">
        <v>132802.25274238619</v>
      </c>
      <c r="C92" s="10">
        <v>59465.963948250028</v>
      </c>
      <c r="D92" s="10">
        <v>192268.21669063621</v>
      </c>
      <c r="E92">
        <v>129088.39840000001</v>
      </c>
      <c r="F92">
        <v>235980.60159999999</v>
      </c>
      <c r="G92">
        <v>365069</v>
      </c>
      <c r="H92" t="s">
        <v>32</v>
      </c>
      <c r="I92" t="s">
        <v>31</v>
      </c>
    </row>
    <row r="93" spans="1:15" x14ac:dyDescent="0.25">
      <c r="A93" t="s">
        <v>54</v>
      </c>
      <c r="B93" s="11">
        <v>135271.88076069983</v>
      </c>
      <c r="C93" s="11">
        <v>72722.804406834592</v>
      </c>
      <c r="D93" s="11">
        <v>207994.68516753442</v>
      </c>
      <c r="E93">
        <v>124071.6646</v>
      </c>
      <c r="F93">
        <v>217347.33539999998</v>
      </c>
      <c r="G93">
        <v>341419</v>
      </c>
      <c r="H93" t="s">
        <v>32</v>
      </c>
      <c r="I93" t="s">
        <v>31</v>
      </c>
    </row>
    <row r="94" spans="1:15" x14ac:dyDescent="0.25">
      <c r="A94" t="s">
        <v>55</v>
      </c>
      <c r="B94" s="10">
        <v>148426.78304800566</v>
      </c>
      <c r="C94" s="10">
        <v>151006.86412329008</v>
      </c>
      <c r="D94" s="10">
        <v>299433.64717129571</v>
      </c>
      <c r="E94">
        <v>129502.1345</v>
      </c>
      <c r="F94">
        <v>216852.86550000001</v>
      </c>
      <c r="G94">
        <v>346355</v>
      </c>
      <c r="H94" t="s">
        <v>32</v>
      </c>
      <c r="I94" t="s">
        <v>31</v>
      </c>
    </row>
    <row r="95" spans="1:15" x14ac:dyDescent="0.25">
      <c r="A95" t="s">
        <v>56</v>
      </c>
      <c r="B95" s="11">
        <v>117435.50617533945</v>
      </c>
      <c r="C95" s="11">
        <v>158627.31949176936</v>
      </c>
      <c r="D95" s="11">
        <v>276062.82566710882</v>
      </c>
      <c r="E95">
        <v>117441.26479999999</v>
      </c>
      <c r="F95">
        <v>188554.7352</v>
      </c>
      <c r="G95">
        <v>305996</v>
      </c>
      <c r="H95" t="s">
        <v>32</v>
      </c>
      <c r="I95" t="s">
        <v>31</v>
      </c>
    </row>
    <row r="96" spans="1:15" x14ac:dyDescent="0.25">
      <c r="A96" t="s">
        <v>57</v>
      </c>
      <c r="B96" s="10">
        <v>127510.83204966979</v>
      </c>
      <c r="C96" s="10">
        <v>138867.26464199938</v>
      </c>
      <c r="D96" s="10">
        <v>266378.0966916692</v>
      </c>
      <c r="E96">
        <v>148038.15330000001</v>
      </c>
      <c r="F96">
        <v>232424.84669999999</v>
      </c>
      <c r="G96">
        <v>380463</v>
      </c>
      <c r="H96" t="s">
        <v>32</v>
      </c>
      <c r="I96" t="s">
        <v>31</v>
      </c>
    </row>
    <row r="97" spans="1:9" x14ac:dyDescent="0.25">
      <c r="A97" t="s">
        <v>37</v>
      </c>
      <c r="B97" s="11">
        <v>76146.893348483078</v>
      </c>
      <c r="C97" s="11">
        <v>61002.990450985133</v>
      </c>
      <c r="D97" s="11">
        <v>137149.88379946823</v>
      </c>
      <c r="E97">
        <v>109666.03319999999</v>
      </c>
      <c r="F97">
        <v>179995.96679999999</v>
      </c>
      <c r="G97">
        <v>289662</v>
      </c>
      <c r="H97" t="s">
        <v>32</v>
      </c>
      <c r="I97" t="s">
        <v>31</v>
      </c>
    </row>
  </sheetData>
  <hyperlinks>
    <hyperlink ref="H49" r:id="rId1" display="Fr.Myprotein.com – worldwide traffic to this domain"/>
    <hyperlink ref="I27" r:id="rId2" display="Fr.Myprotein.com – worldwide traffic to this domain"/>
    <hyperlink ref="I28" r:id="rId3" display="Fr.Myprotein.com – worldwide traffic to this domain"/>
    <hyperlink ref="I29" r:id="rId4" display="Fr.Myprotein.com – worldwide traffic to this domain"/>
    <hyperlink ref="I30" r:id="rId5" display="Fr.Myprotein.com – worldwide traffic to this domain"/>
    <hyperlink ref="I31" r:id="rId6" display="Fr.Myprotein.com – worldwide traffic to this domain"/>
    <hyperlink ref="I32" r:id="rId7" display="Fr.Myprotein.com – worldwide traffic to this domain"/>
    <hyperlink ref="I33" r:id="rId8" display="Fr.Myprotein.com – worldwide traffic to this domain"/>
    <hyperlink ref="I34" r:id="rId9" display="Fr.Myprotein.com – worldwide traffic to this domain"/>
    <hyperlink ref="I35" r:id="rId10" display="Fr.Myprotein.com – worldwide traffic to this domain"/>
    <hyperlink ref="I36" r:id="rId11" display="Fr.Myprotein.com – worldwide traffic to this domain"/>
    <hyperlink ref="I37" r:id="rId12" display="Fr.Myprotein.com – worldwide traffic to this domain"/>
    <hyperlink ref="I38" r:id="rId13" display="Fr.Myprotein.com – worldwide traffic to this domain"/>
    <hyperlink ref="I39" r:id="rId14" display="Fr.Myprotein.com – worldwide traffic to this domain"/>
    <hyperlink ref="I40" r:id="rId15" display="Fr.Myprotein.com – worldwide traffic to this domain"/>
    <hyperlink ref="I41" r:id="rId16" display="Fr.Myprotein.com – worldwide traffic to this domain"/>
    <hyperlink ref="I42" r:id="rId17" display="Fr.Myprotein.com – worldwide traffic to this domain"/>
    <hyperlink ref="I43" r:id="rId18" display="Fr.Myprotein.com – worldwide traffic to this domain"/>
    <hyperlink ref="I44" r:id="rId19" display="Fr.Myprotein.com – worldwide traffic to this domain"/>
    <hyperlink ref="I45" r:id="rId20" display="Fr.Myprotein.com – worldwide traffic to this domain"/>
    <hyperlink ref="I46" r:id="rId21" display="Fr.Myprotein.com – worldwide traffic to this domain"/>
    <hyperlink ref="I47" r:id="rId22" display="Fr.Myprotein.com – worldwide traffic to this domain"/>
    <hyperlink ref="I48" r:id="rId23" display="Fr.Myprotein.com – worldwide traffic to this domain"/>
  </hyperlinks>
  <pageMargins left="0.7" right="0.7" top="0.75" bottom="0.75" header="0.3" footer="0.3"/>
  <pageSetup orientation="portrait" r:id="rId24"/>
  <drawing r:id="rId2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73"/>
  <sheetViews>
    <sheetView workbookViewId="0">
      <selection activeCell="H17" sqref="H17"/>
    </sheetView>
  </sheetViews>
  <sheetFormatPr defaultRowHeight="15" x14ac:dyDescent="0.25"/>
  <cols>
    <col min="1" max="1" width="24.42578125" bestFit="1" customWidth="1"/>
    <col min="2" max="2" width="6.85546875" bestFit="1" customWidth="1"/>
  </cols>
  <sheetData>
    <row r="1" spans="1:4" x14ac:dyDescent="0.25">
      <c r="A1" t="s">
        <v>83</v>
      </c>
      <c r="B1" t="s">
        <v>84</v>
      </c>
      <c r="C1" t="s">
        <v>85</v>
      </c>
      <c r="D1" t="s">
        <v>86</v>
      </c>
    </row>
    <row r="2" spans="1:4" x14ac:dyDescent="0.25">
      <c r="A2" t="s">
        <v>61</v>
      </c>
      <c r="B2">
        <v>1</v>
      </c>
      <c r="C2">
        <v>30</v>
      </c>
      <c r="D2">
        <v>4575.4469972148599</v>
      </c>
    </row>
    <row r="3" spans="1:4" x14ac:dyDescent="0.25">
      <c r="A3" t="s">
        <v>78</v>
      </c>
      <c r="B3">
        <v>3</v>
      </c>
      <c r="C3">
        <v>27</v>
      </c>
      <c r="D3">
        <v>24343.149968064201</v>
      </c>
    </row>
    <row r="4" spans="1:4" x14ac:dyDescent="0.25">
      <c r="A4" t="s">
        <v>61</v>
      </c>
      <c r="B4">
        <v>1</v>
      </c>
      <c r="C4">
        <v>31</v>
      </c>
      <c r="D4">
        <v>4511.2482318124703</v>
      </c>
    </row>
    <row r="5" spans="1:4" x14ac:dyDescent="0.25">
      <c r="A5" t="s">
        <v>78</v>
      </c>
      <c r="B5">
        <v>3</v>
      </c>
      <c r="C5">
        <v>28</v>
      </c>
      <c r="D5">
        <v>14389.654236152601</v>
      </c>
    </row>
    <row r="6" spans="1:4" x14ac:dyDescent="0.25">
      <c r="A6" t="s">
        <v>61</v>
      </c>
      <c r="B6">
        <v>2</v>
      </c>
      <c r="C6">
        <v>1</v>
      </c>
      <c r="D6">
        <v>5418.8210329017102</v>
      </c>
    </row>
    <row r="7" spans="1:4" x14ac:dyDescent="0.25">
      <c r="A7" t="s">
        <v>78</v>
      </c>
      <c r="B7">
        <v>3</v>
      </c>
      <c r="C7">
        <v>29</v>
      </c>
      <c r="D7">
        <v>5798.2172774519704</v>
      </c>
    </row>
    <row r="8" spans="1:4" x14ac:dyDescent="0.25">
      <c r="A8" t="s">
        <v>79</v>
      </c>
      <c r="B8">
        <v>2</v>
      </c>
      <c r="C8">
        <v>26</v>
      </c>
      <c r="D8">
        <v>7629.1892068811403</v>
      </c>
    </row>
    <row r="9" spans="1:4" x14ac:dyDescent="0.25">
      <c r="A9" t="s">
        <v>61</v>
      </c>
      <c r="B9">
        <v>2</v>
      </c>
      <c r="C9">
        <v>2</v>
      </c>
      <c r="D9">
        <v>5774.7729735205603</v>
      </c>
    </row>
    <row r="10" spans="1:4" x14ac:dyDescent="0.25">
      <c r="A10" t="s">
        <v>78</v>
      </c>
      <c r="B10">
        <v>3</v>
      </c>
      <c r="C10">
        <v>30</v>
      </c>
      <c r="D10">
        <v>19032.9995862984</v>
      </c>
    </row>
    <row r="11" spans="1:4" x14ac:dyDescent="0.25">
      <c r="A11" t="s">
        <v>79</v>
      </c>
      <c r="B11">
        <v>2</v>
      </c>
      <c r="C11">
        <v>27</v>
      </c>
      <c r="D11">
        <v>7888.9761177465198</v>
      </c>
    </row>
    <row r="12" spans="1:4" x14ac:dyDescent="0.25">
      <c r="A12" t="s">
        <v>61</v>
      </c>
      <c r="B12">
        <v>2</v>
      </c>
      <c r="C12">
        <v>3</v>
      </c>
      <c r="D12">
        <v>1052.3191269536201</v>
      </c>
    </row>
    <row r="13" spans="1:4" x14ac:dyDescent="0.25">
      <c r="A13" t="s">
        <v>78</v>
      </c>
      <c r="B13">
        <v>3</v>
      </c>
      <c r="C13">
        <v>31</v>
      </c>
      <c r="D13">
        <v>13189.221290486999</v>
      </c>
    </row>
    <row r="14" spans="1:4" x14ac:dyDescent="0.25">
      <c r="A14" t="s">
        <v>79</v>
      </c>
      <c r="B14">
        <v>2</v>
      </c>
      <c r="C14">
        <v>28</v>
      </c>
      <c r="D14">
        <v>4871.1968572963297</v>
      </c>
    </row>
    <row r="15" spans="1:4" x14ac:dyDescent="0.25">
      <c r="A15" t="s">
        <v>61</v>
      </c>
      <c r="B15">
        <v>2</v>
      </c>
      <c r="C15">
        <v>4</v>
      </c>
      <c r="D15">
        <v>2709.1345109251101</v>
      </c>
    </row>
    <row r="16" spans="1:4" x14ac:dyDescent="0.25">
      <c r="A16" t="s">
        <v>78</v>
      </c>
      <c r="B16">
        <v>4</v>
      </c>
      <c r="C16">
        <v>1</v>
      </c>
      <c r="D16">
        <v>21724.143724524802</v>
      </c>
    </row>
    <row r="17" spans="1:4" x14ac:dyDescent="0.25">
      <c r="A17" t="s">
        <v>61</v>
      </c>
      <c r="B17">
        <v>2</v>
      </c>
      <c r="C17">
        <v>5</v>
      </c>
      <c r="D17">
        <v>5579.0956614142897</v>
      </c>
    </row>
    <row r="18" spans="1:4" x14ac:dyDescent="0.25">
      <c r="A18" t="s">
        <v>78</v>
      </c>
      <c r="B18">
        <v>4</v>
      </c>
      <c r="C18">
        <v>2</v>
      </c>
      <c r="D18">
        <v>9848.5447121402194</v>
      </c>
    </row>
    <row r="19" spans="1:4" x14ac:dyDescent="0.25">
      <c r="A19" t="s">
        <v>61</v>
      </c>
      <c r="B19">
        <v>2</v>
      </c>
      <c r="C19">
        <v>6</v>
      </c>
      <c r="D19">
        <v>1086.6336037934</v>
      </c>
    </row>
    <row r="20" spans="1:4" x14ac:dyDescent="0.25">
      <c r="A20" t="s">
        <v>78</v>
      </c>
      <c r="B20">
        <v>4</v>
      </c>
      <c r="C20">
        <v>3</v>
      </c>
      <c r="D20">
        <v>14986.677431857201</v>
      </c>
    </row>
    <row r="21" spans="1:4" x14ac:dyDescent="0.25">
      <c r="A21" t="s">
        <v>61</v>
      </c>
      <c r="B21">
        <v>2</v>
      </c>
      <c r="C21">
        <v>7</v>
      </c>
      <c r="D21">
        <v>1055.2359864452401</v>
      </c>
    </row>
    <row r="22" spans="1:4" x14ac:dyDescent="0.25">
      <c r="A22" t="s">
        <v>78</v>
      </c>
      <c r="B22">
        <v>4</v>
      </c>
      <c r="C22">
        <v>4</v>
      </c>
      <c r="D22">
        <v>14805.991368369099</v>
      </c>
    </row>
    <row r="23" spans="1:4" x14ac:dyDescent="0.25">
      <c r="A23" t="s">
        <v>79</v>
      </c>
      <c r="B23">
        <v>3</v>
      </c>
      <c r="C23">
        <v>1</v>
      </c>
      <c r="D23">
        <v>4798.4101327238004</v>
      </c>
    </row>
    <row r="24" spans="1:4" x14ac:dyDescent="0.25">
      <c r="A24" t="s">
        <v>61</v>
      </c>
      <c r="B24">
        <v>2</v>
      </c>
      <c r="C24">
        <v>8</v>
      </c>
      <c r="D24">
        <v>4207.0785557924301</v>
      </c>
    </row>
    <row r="25" spans="1:4" x14ac:dyDescent="0.25">
      <c r="A25" t="s">
        <v>78</v>
      </c>
      <c r="B25">
        <v>4</v>
      </c>
      <c r="C25">
        <v>5</v>
      </c>
      <c r="D25">
        <v>14072.2021446739</v>
      </c>
    </row>
    <row r="26" spans="1:4" x14ac:dyDescent="0.25">
      <c r="A26" t="s">
        <v>79</v>
      </c>
      <c r="B26">
        <v>3</v>
      </c>
      <c r="C26">
        <v>2</v>
      </c>
      <c r="D26">
        <v>1654.1066808164501</v>
      </c>
    </row>
    <row r="27" spans="1:4" x14ac:dyDescent="0.25">
      <c r="A27" t="s">
        <v>61</v>
      </c>
      <c r="B27">
        <v>2</v>
      </c>
      <c r="C27">
        <v>9</v>
      </c>
      <c r="D27">
        <v>981.19698487420806</v>
      </c>
    </row>
    <row r="28" spans="1:4" x14ac:dyDescent="0.25">
      <c r="A28" t="s">
        <v>78</v>
      </c>
      <c r="B28">
        <v>4</v>
      </c>
      <c r="C28">
        <v>6</v>
      </c>
      <c r="D28">
        <v>18548.8872419123</v>
      </c>
    </row>
    <row r="29" spans="1:4" x14ac:dyDescent="0.25">
      <c r="A29" t="s">
        <v>79</v>
      </c>
      <c r="B29">
        <v>3</v>
      </c>
      <c r="C29">
        <v>3</v>
      </c>
      <c r="D29">
        <v>8019.1380477511502</v>
      </c>
    </row>
    <row r="30" spans="1:4" x14ac:dyDescent="0.25">
      <c r="A30" t="s">
        <v>61</v>
      </c>
      <c r="B30">
        <v>2</v>
      </c>
      <c r="C30">
        <v>10</v>
      </c>
      <c r="D30">
        <v>1769.4413732013199</v>
      </c>
    </row>
    <row r="31" spans="1:4" x14ac:dyDescent="0.25">
      <c r="A31" t="s">
        <v>78</v>
      </c>
      <c r="B31">
        <v>4</v>
      </c>
      <c r="C31">
        <v>7</v>
      </c>
      <c r="D31">
        <v>23184.842910911</v>
      </c>
    </row>
    <row r="32" spans="1:4" x14ac:dyDescent="0.25">
      <c r="A32" t="s">
        <v>79</v>
      </c>
      <c r="B32">
        <v>3</v>
      </c>
      <c r="C32">
        <v>4</v>
      </c>
      <c r="D32">
        <v>6423.41156202401</v>
      </c>
    </row>
    <row r="33" spans="1:4" x14ac:dyDescent="0.25">
      <c r="A33" t="s">
        <v>61</v>
      </c>
      <c r="B33">
        <v>2</v>
      </c>
      <c r="C33">
        <v>11</v>
      </c>
      <c r="D33">
        <v>2101.01798723095</v>
      </c>
    </row>
    <row r="34" spans="1:4" x14ac:dyDescent="0.25">
      <c r="A34" t="s">
        <v>78</v>
      </c>
      <c r="B34">
        <v>4</v>
      </c>
      <c r="C34">
        <v>8</v>
      </c>
      <c r="D34">
        <v>17322.456912178299</v>
      </c>
    </row>
    <row r="35" spans="1:4" x14ac:dyDescent="0.25">
      <c r="A35" t="s">
        <v>79</v>
      </c>
      <c r="B35">
        <v>3</v>
      </c>
      <c r="C35">
        <v>5</v>
      </c>
      <c r="D35">
        <v>6355.1247577525801</v>
      </c>
    </row>
    <row r="36" spans="1:4" x14ac:dyDescent="0.25">
      <c r="A36" t="s">
        <v>61</v>
      </c>
      <c r="B36">
        <v>2</v>
      </c>
      <c r="C36">
        <v>12</v>
      </c>
      <c r="D36">
        <v>1113.99882532475</v>
      </c>
    </row>
    <row r="37" spans="1:4" x14ac:dyDescent="0.25">
      <c r="A37" t="s">
        <v>78</v>
      </c>
      <c r="B37">
        <v>4</v>
      </c>
      <c r="C37">
        <v>9</v>
      </c>
      <c r="D37">
        <v>13115.4505744364</v>
      </c>
    </row>
    <row r="38" spans="1:4" x14ac:dyDescent="0.25">
      <c r="A38" t="s">
        <v>79</v>
      </c>
      <c r="B38">
        <v>3</v>
      </c>
      <c r="C38">
        <v>6</v>
      </c>
      <c r="D38">
        <v>5040.6867498627298</v>
      </c>
    </row>
    <row r="39" spans="1:4" x14ac:dyDescent="0.25">
      <c r="A39" t="s">
        <v>61</v>
      </c>
      <c r="B39">
        <v>2</v>
      </c>
      <c r="C39">
        <v>13</v>
      </c>
      <c r="D39">
        <v>710.72599231077299</v>
      </c>
    </row>
    <row r="40" spans="1:4" x14ac:dyDescent="0.25">
      <c r="A40" t="s">
        <v>78</v>
      </c>
      <c r="B40">
        <v>4</v>
      </c>
      <c r="C40">
        <v>10</v>
      </c>
      <c r="D40">
        <v>8442.4292537756101</v>
      </c>
    </row>
    <row r="41" spans="1:4" x14ac:dyDescent="0.25">
      <c r="A41" t="s">
        <v>79</v>
      </c>
      <c r="B41">
        <v>3</v>
      </c>
      <c r="C41">
        <v>7</v>
      </c>
      <c r="D41">
        <v>13690.3527674823</v>
      </c>
    </row>
    <row r="42" spans="1:4" x14ac:dyDescent="0.25">
      <c r="A42" t="s">
        <v>61</v>
      </c>
      <c r="B42">
        <v>2</v>
      </c>
      <c r="C42">
        <v>14</v>
      </c>
      <c r="D42">
        <v>3414.5079564030402</v>
      </c>
    </row>
    <row r="43" spans="1:4" x14ac:dyDescent="0.25">
      <c r="A43" t="s">
        <v>78</v>
      </c>
      <c r="B43">
        <v>4</v>
      </c>
      <c r="C43">
        <v>11</v>
      </c>
      <c r="D43">
        <v>14523.790785708001</v>
      </c>
    </row>
    <row r="44" spans="1:4" x14ac:dyDescent="0.25">
      <c r="A44" t="s">
        <v>79</v>
      </c>
      <c r="B44">
        <v>3</v>
      </c>
      <c r="C44">
        <v>8</v>
      </c>
      <c r="D44">
        <v>9354.0098013706902</v>
      </c>
    </row>
    <row r="45" spans="1:4" x14ac:dyDescent="0.25">
      <c r="A45" t="s">
        <v>61</v>
      </c>
      <c r="B45">
        <v>2</v>
      </c>
      <c r="C45">
        <v>15</v>
      </c>
      <c r="D45">
        <v>1654.90997068603</v>
      </c>
    </row>
    <row r="46" spans="1:4" x14ac:dyDescent="0.25">
      <c r="A46" t="s">
        <v>78</v>
      </c>
      <c r="B46">
        <v>4</v>
      </c>
      <c r="C46">
        <v>12</v>
      </c>
      <c r="D46">
        <v>8479.7073586632505</v>
      </c>
    </row>
    <row r="47" spans="1:4" x14ac:dyDescent="0.25">
      <c r="A47" t="s">
        <v>80</v>
      </c>
      <c r="B47">
        <v>1</v>
      </c>
      <c r="C47">
        <v>1</v>
      </c>
      <c r="D47">
        <v>5290.3161694069904</v>
      </c>
    </row>
    <row r="48" spans="1:4" x14ac:dyDescent="0.25">
      <c r="A48" t="s">
        <v>79</v>
      </c>
      <c r="B48">
        <v>3</v>
      </c>
      <c r="C48">
        <v>9</v>
      </c>
      <c r="D48">
        <v>12640.958161398299</v>
      </c>
    </row>
    <row r="49" spans="1:4" x14ac:dyDescent="0.25">
      <c r="A49" t="s">
        <v>61</v>
      </c>
      <c r="B49">
        <v>2</v>
      </c>
      <c r="C49">
        <v>16</v>
      </c>
      <c r="D49">
        <v>2334.0779439243001</v>
      </c>
    </row>
    <row r="50" spans="1:4" x14ac:dyDescent="0.25">
      <c r="A50" t="s">
        <v>78</v>
      </c>
      <c r="B50">
        <v>4</v>
      </c>
      <c r="C50">
        <v>13</v>
      </c>
      <c r="D50">
        <v>4291.1654855084898</v>
      </c>
    </row>
    <row r="51" spans="1:4" x14ac:dyDescent="0.25">
      <c r="A51" t="s">
        <v>80</v>
      </c>
      <c r="B51">
        <v>1</v>
      </c>
      <c r="C51">
        <v>2</v>
      </c>
      <c r="D51">
        <v>10927.3364212705</v>
      </c>
    </row>
    <row r="52" spans="1:4" x14ac:dyDescent="0.25">
      <c r="A52" t="s">
        <v>79</v>
      </c>
      <c r="B52">
        <v>3</v>
      </c>
      <c r="C52">
        <v>10</v>
      </c>
      <c r="D52">
        <v>18377.607219003701</v>
      </c>
    </row>
    <row r="53" spans="1:4" x14ac:dyDescent="0.25">
      <c r="A53" t="s">
        <v>61</v>
      </c>
      <c r="B53">
        <v>2</v>
      </c>
      <c r="C53">
        <v>17</v>
      </c>
      <c r="D53">
        <v>5017.7838103354497</v>
      </c>
    </row>
    <row r="54" spans="1:4" x14ac:dyDescent="0.25">
      <c r="A54" t="s">
        <v>78</v>
      </c>
      <c r="B54">
        <v>4</v>
      </c>
      <c r="C54">
        <v>14</v>
      </c>
      <c r="D54">
        <v>7785.0368469961504</v>
      </c>
    </row>
    <row r="55" spans="1:4" x14ac:dyDescent="0.25">
      <c r="A55" t="s">
        <v>80</v>
      </c>
      <c r="B55">
        <v>1</v>
      </c>
      <c r="C55">
        <v>3</v>
      </c>
      <c r="D55">
        <v>17500.3384638018</v>
      </c>
    </row>
    <row r="56" spans="1:4" x14ac:dyDescent="0.25">
      <c r="A56" t="s">
        <v>79</v>
      </c>
      <c r="B56">
        <v>3</v>
      </c>
      <c r="C56">
        <v>11</v>
      </c>
      <c r="D56">
        <v>9177.7735743447993</v>
      </c>
    </row>
    <row r="57" spans="1:4" x14ac:dyDescent="0.25">
      <c r="A57" t="s">
        <v>61</v>
      </c>
      <c r="B57">
        <v>2</v>
      </c>
      <c r="C57">
        <v>18</v>
      </c>
      <c r="D57">
        <v>3432.4980028036298</v>
      </c>
    </row>
    <row r="58" spans="1:4" x14ac:dyDescent="0.25">
      <c r="A58" t="s">
        <v>78</v>
      </c>
      <c r="B58">
        <v>4</v>
      </c>
      <c r="C58">
        <v>15</v>
      </c>
      <c r="D58">
        <v>7025.3950975075104</v>
      </c>
    </row>
    <row r="59" spans="1:4" x14ac:dyDescent="0.25">
      <c r="A59" t="s">
        <v>80</v>
      </c>
      <c r="B59">
        <v>1</v>
      </c>
      <c r="C59">
        <v>4</v>
      </c>
      <c r="D59">
        <v>465.16229683474</v>
      </c>
    </row>
    <row r="60" spans="1:4" x14ac:dyDescent="0.25">
      <c r="A60" t="s">
        <v>79</v>
      </c>
      <c r="B60">
        <v>3</v>
      </c>
      <c r="C60">
        <v>12</v>
      </c>
      <c r="D60">
        <v>11901.1755967796</v>
      </c>
    </row>
    <row r="61" spans="1:4" x14ac:dyDescent="0.25">
      <c r="A61" t="s">
        <v>61</v>
      </c>
      <c r="B61">
        <v>2</v>
      </c>
      <c r="C61">
        <v>19</v>
      </c>
      <c r="D61">
        <v>8094.96793185349</v>
      </c>
    </row>
    <row r="62" spans="1:4" x14ac:dyDescent="0.25">
      <c r="A62" t="s">
        <v>78</v>
      </c>
      <c r="B62">
        <v>4</v>
      </c>
      <c r="C62">
        <v>16</v>
      </c>
      <c r="D62">
        <v>7128.0379802547905</v>
      </c>
    </row>
    <row r="63" spans="1:4" x14ac:dyDescent="0.25">
      <c r="A63" t="s">
        <v>80</v>
      </c>
      <c r="B63">
        <v>1</v>
      </c>
      <c r="C63">
        <v>5</v>
      </c>
      <c r="D63">
        <v>514.13985753917598</v>
      </c>
    </row>
    <row r="64" spans="1:4" x14ac:dyDescent="0.25">
      <c r="A64" t="s">
        <v>79</v>
      </c>
      <c r="B64">
        <v>3</v>
      </c>
      <c r="C64">
        <v>13</v>
      </c>
      <c r="D64">
        <v>15046.2849167238</v>
      </c>
    </row>
    <row r="65" spans="1:4" x14ac:dyDescent="0.25">
      <c r="A65" t="s">
        <v>61</v>
      </c>
      <c r="B65">
        <v>2</v>
      </c>
      <c r="C65">
        <v>20</v>
      </c>
      <c r="D65">
        <v>4680.7742442913104</v>
      </c>
    </row>
    <row r="66" spans="1:4" x14ac:dyDescent="0.25">
      <c r="A66" t="s">
        <v>78</v>
      </c>
      <c r="B66">
        <v>4</v>
      </c>
      <c r="C66">
        <v>17</v>
      </c>
      <c r="D66">
        <v>14314.793031323699</v>
      </c>
    </row>
    <row r="67" spans="1:4" x14ac:dyDescent="0.25">
      <c r="A67" t="s">
        <v>80</v>
      </c>
      <c r="B67">
        <v>1</v>
      </c>
      <c r="C67">
        <v>6</v>
      </c>
      <c r="D67">
        <v>524.90848090590202</v>
      </c>
    </row>
    <row r="68" spans="1:4" x14ac:dyDescent="0.25">
      <c r="A68" t="s">
        <v>79</v>
      </c>
      <c r="B68">
        <v>3</v>
      </c>
      <c r="C68">
        <v>14</v>
      </c>
      <c r="D68">
        <v>8617.5903516036797</v>
      </c>
    </row>
    <row r="69" spans="1:4" x14ac:dyDescent="0.25">
      <c r="A69" t="s">
        <v>61</v>
      </c>
      <c r="B69">
        <v>2</v>
      </c>
      <c r="C69">
        <v>21</v>
      </c>
      <c r="D69">
        <v>9358.5170464059102</v>
      </c>
    </row>
    <row r="70" spans="1:4" x14ac:dyDescent="0.25">
      <c r="A70" t="s">
        <v>78</v>
      </c>
      <c r="B70">
        <v>4</v>
      </c>
      <c r="C70">
        <v>18</v>
      </c>
      <c r="D70">
        <v>21615.550384057598</v>
      </c>
    </row>
    <row r="71" spans="1:4" x14ac:dyDescent="0.25">
      <c r="A71" t="s">
        <v>80</v>
      </c>
      <c r="B71">
        <v>1</v>
      </c>
      <c r="C71">
        <v>7</v>
      </c>
      <c r="D71">
        <v>532.65537930667904</v>
      </c>
    </row>
    <row r="72" spans="1:4" x14ac:dyDescent="0.25">
      <c r="A72" t="s">
        <v>79</v>
      </c>
      <c r="B72">
        <v>3</v>
      </c>
      <c r="C72">
        <v>15</v>
      </c>
      <c r="D72">
        <v>5042.7199326591699</v>
      </c>
    </row>
    <row r="73" spans="1:4" x14ac:dyDescent="0.25">
      <c r="A73" t="s">
        <v>61</v>
      </c>
      <c r="B73">
        <v>2</v>
      </c>
      <c r="C73">
        <v>22</v>
      </c>
      <c r="D73">
        <v>3597.4126472994299</v>
      </c>
    </row>
    <row r="74" spans="1:4" x14ac:dyDescent="0.25">
      <c r="A74" t="s">
        <v>78</v>
      </c>
      <c r="B74">
        <v>4</v>
      </c>
      <c r="C74">
        <v>19</v>
      </c>
      <c r="D74">
        <v>9174.63549300456</v>
      </c>
    </row>
    <row r="75" spans="1:4" x14ac:dyDescent="0.25">
      <c r="A75" t="s">
        <v>80</v>
      </c>
      <c r="B75">
        <v>1</v>
      </c>
      <c r="C75">
        <v>8</v>
      </c>
      <c r="D75">
        <v>1863.70828444312</v>
      </c>
    </row>
    <row r="76" spans="1:4" x14ac:dyDescent="0.25">
      <c r="A76" t="s">
        <v>79</v>
      </c>
      <c r="B76">
        <v>3</v>
      </c>
      <c r="C76">
        <v>16</v>
      </c>
      <c r="D76">
        <v>8259.2331519639592</v>
      </c>
    </row>
    <row r="77" spans="1:4" x14ac:dyDescent="0.25">
      <c r="A77" t="s">
        <v>61</v>
      </c>
      <c r="B77">
        <v>2</v>
      </c>
      <c r="C77">
        <v>23</v>
      </c>
      <c r="D77">
        <v>4625.7303224755997</v>
      </c>
    </row>
    <row r="78" spans="1:4" x14ac:dyDescent="0.25">
      <c r="A78" t="s">
        <v>78</v>
      </c>
      <c r="B78">
        <v>4</v>
      </c>
      <c r="C78">
        <v>20</v>
      </c>
      <c r="D78">
        <v>23105.555818658198</v>
      </c>
    </row>
    <row r="79" spans="1:4" x14ac:dyDescent="0.25">
      <c r="A79" t="s">
        <v>80</v>
      </c>
      <c r="B79">
        <v>1</v>
      </c>
      <c r="C79">
        <v>9</v>
      </c>
      <c r="D79">
        <v>716.21806770232001</v>
      </c>
    </row>
    <row r="80" spans="1:4" x14ac:dyDescent="0.25">
      <c r="A80" t="s">
        <v>79</v>
      </c>
      <c r="B80">
        <v>3</v>
      </c>
      <c r="C80">
        <v>17</v>
      </c>
      <c r="D80">
        <v>13136.1975257131</v>
      </c>
    </row>
    <row r="81" spans="1:4" x14ac:dyDescent="0.25">
      <c r="A81" t="s">
        <v>61</v>
      </c>
      <c r="B81">
        <v>2</v>
      </c>
      <c r="C81">
        <v>24</v>
      </c>
      <c r="D81">
        <v>4649.0480789945104</v>
      </c>
    </row>
    <row r="82" spans="1:4" x14ac:dyDescent="0.25">
      <c r="A82" t="s">
        <v>78</v>
      </c>
      <c r="B82">
        <v>4</v>
      </c>
      <c r="C82">
        <v>21</v>
      </c>
      <c r="D82">
        <v>8241.3247865393805</v>
      </c>
    </row>
    <row r="83" spans="1:4" x14ac:dyDescent="0.25">
      <c r="A83" t="s">
        <v>80</v>
      </c>
      <c r="B83">
        <v>1</v>
      </c>
      <c r="C83">
        <v>10</v>
      </c>
      <c r="D83">
        <v>798.16279867668698</v>
      </c>
    </row>
    <row r="84" spans="1:4" x14ac:dyDescent="0.25">
      <c r="A84" t="s">
        <v>79</v>
      </c>
      <c r="B84">
        <v>3</v>
      </c>
      <c r="C84">
        <v>18</v>
      </c>
      <c r="D84">
        <v>14761.8433640278</v>
      </c>
    </row>
    <row r="85" spans="1:4" x14ac:dyDescent="0.25">
      <c r="A85" t="s">
        <v>61</v>
      </c>
      <c r="B85">
        <v>2</v>
      </c>
      <c r="C85">
        <v>25</v>
      </c>
      <c r="D85">
        <v>8054.7740918592799</v>
      </c>
    </row>
    <row r="86" spans="1:4" x14ac:dyDescent="0.25">
      <c r="A86" t="s">
        <v>78</v>
      </c>
      <c r="B86">
        <v>4</v>
      </c>
      <c r="C86">
        <v>22</v>
      </c>
      <c r="D86">
        <v>17176.076438515898</v>
      </c>
    </row>
    <row r="87" spans="1:4" x14ac:dyDescent="0.25">
      <c r="A87" t="s">
        <v>80</v>
      </c>
      <c r="B87">
        <v>1</v>
      </c>
      <c r="C87">
        <v>11</v>
      </c>
      <c r="D87">
        <v>803.97438575845695</v>
      </c>
    </row>
    <row r="88" spans="1:4" x14ac:dyDescent="0.25">
      <c r="A88" t="s">
        <v>79</v>
      </c>
      <c r="B88">
        <v>3</v>
      </c>
      <c r="C88">
        <v>19</v>
      </c>
      <c r="D88">
        <v>8444.7052863855606</v>
      </c>
    </row>
    <row r="89" spans="1:4" x14ac:dyDescent="0.25">
      <c r="A89" t="s">
        <v>61</v>
      </c>
      <c r="B89">
        <v>2</v>
      </c>
      <c r="C89">
        <v>26</v>
      </c>
      <c r="D89">
        <v>6562.3757021735901</v>
      </c>
    </row>
    <row r="90" spans="1:4" x14ac:dyDescent="0.25">
      <c r="A90" t="s">
        <v>78</v>
      </c>
      <c r="B90">
        <v>4</v>
      </c>
      <c r="C90">
        <v>23</v>
      </c>
      <c r="D90">
        <v>14553.0006074925</v>
      </c>
    </row>
    <row r="91" spans="1:4" x14ac:dyDescent="0.25">
      <c r="A91" t="s">
        <v>80</v>
      </c>
      <c r="B91">
        <v>1</v>
      </c>
      <c r="C91">
        <v>12</v>
      </c>
      <c r="D91">
        <v>799.14401982574998</v>
      </c>
    </row>
    <row r="92" spans="1:4" x14ac:dyDescent="0.25">
      <c r="A92" t="s">
        <v>79</v>
      </c>
      <c r="B92">
        <v>3</v>
      </c>
      <c r="C92">
        <v>20</v>
      </c>
      <c r="D92">
        <v>13690.513610763801</v>
      </c>
    </row>
    <row r="93" spans="1:4" x14ac:dyDescent="0.25">
      <c r="A93" t="s">
        <v>61</v>
      </c>
      <c r="B93">
        <v>2</v>
      </c>
      <c r="C93">
        <v>27</v>
      </c>
      <c r="D93">
        <v>5363.2084728237196</v>
      </c>
    </row>
    <row r="94" spans="1:4" x14ac:dyDescent="0.25">
      <c r="A94" t="s">
        <v>78</v>
      </c>
      <c r="B94">
        <v>4</v>
      </c>
      <c r="C94">
        <v>24</v>
      </c>
      <c r="D94">
        <v>14424.956142511401</v>
      </c>
    </row>
    <row r="95" spans="1:4" x14ac:dyDescent="0.25">
      <c r="A95" t="s">
        <v>80</v>
      </c>
      <c r="B95">
        <v>1</v>
      </c>
      <c r="C95">
        <v>13</v>
      </c>
      <c r="D95">
        <v>812.79077395512104</v>
      </c>
    </row>
    <row r="96" spans="1:4" x14ac:dyDescent="0.25">
      <c r="A96" t="s">
        <v>79</v>
      </c>
      <c r="B96">
        <v>3</v>
      </c>
      <c r="C96">
        <v>21</v>
      </c>
      <c r="D96">
        <v>7593.7853831025304</v>
      </c>
    </row>
    <row r="97" spans="1:4" x14ac:dyDescent="0.25">
      <c r="A97" t="s">
        <v>61</v>
      </c>
      <c r="B97">
        <v>2</v>
      </c>
      <c r="C97">
        <v>28</v>
      </c>
      <c r="D97">
        <v>4498.1831757154496</v>
      </c>
    </row>
    <row r="98" spans="1:4" x14ac:dyDescent="0.25">
      <c r="A98" t="s">
        <v>78</v>
      </c>
      <c r="B98">
        <v>4</v>
      </c>
      <c r="C98">
        <v>25</v>
      </c>
      <c r="D98">
        <v>10215.3616659705</v>
      </c>
    </row>
    <row r="99" spans="1:4" x14ac:dyDescent="0.25">
      <c r="A99" t="s">
        <v>80</v>
      </c>
      <c r="B99">
        <v>1</v>
      </c>
      <c r="C99">
        <v>14</v>
      </c>
      <c r="D99">
        <v>817.04214180635802</v>
      </c>
    </row>
    <row r="100" spans="1:4" x14ac:dyDescent="0.25">
      <c r="A100" t="s">
        <v>79</v>
      </c>
      <c r="B100">
        <v>3</v>
      </c>
      <c r="C100">
        <v>22</v>
      </c>
      <c r="D100">
        <v>12201.5787199772</v>
      </c>
    </row>
    <row r="101" spans="1:4" x14ac:dyDescent="0.25">
      <c r="A101" t="s">
        <v>78</v>
      </c>
      <c r="B101">
        <v>4</v>
      </c>
      <c r="C101">
        <v>26</v>
      </c>
      <c r="D101">
        <v>13455.1497116393</v>
      </c>
    </row>
    <row r="102" spans="1:4" x14ac:dyDescent="0.25">
      <c r="A102" t="s">
        <v>80</v>
      </c>
      <c r="B102">
        <v>1</v>
      </c>
      <c r="C102">
        <v>15</v>
      </c>
      <c r="D102">
        <v>2330.7788603582999</v>
      </c>
    </row>
    <row r="103" spans="1:4" x14ac:dyDescent="0.25">
      <c r="A103" t="s">
        <v>79</v>
      </c>
      <c r="B103">
        <v>3</v>
      </c>
      <c r="C103">
        <v>23</v>
      </c>
      <c r="D103">
        <v>13281.157650527701</v>
      </c>
    </row>
    <row r="104" spans="1:4" x14ac:dyDescent="0.25">
      <c r="A104" t="s">
        <v>78</v>
      </c>
      <c r="B104">
        <v>4</v>
      </c>
      <c r="C104">
        <v>27</v>
      </c>
      <c r="D104">
        <v>9865.4294558244692</v>
      </c>
    </row>
    <row r="105" spans="1:4" x14ac:dyDescent="0.25">
      <c r="A105" t="s">
        <v>80</v>
      </c>
      <c r="B105">
        <v>1</v>
      </c>
      <c r="C105">
        <v>16</v>
      </c>
      <c r="D105">
        <v>823.81107978819296</v>
      </c>
    </row>
    <row r="106" spans="1:4" x14ac:dyDescent="0.25">
      <c r="A106" t="s">
        <v>79</v>
      </c>
      <c r="B106">
        <v>3</v>
      </c>
      <c r="C106">
        <v>24</v>
      </c>
      <c r="D106">
        <v>12688.1053190932</v>
      </c>
    </row>
    <row r="107" spans="1:4" x14ac:dyDescent="0.25">
      <c r="A107" t="s">
        <v>78</v>
      </c>
      <c r="B107">
        <v>4</v>
      </c>
      <c r="C107">
        <v>28</v>
      </c>
      <c r="D107">
        <v>11738.440542603799</v>
      </c>
    </row>
    <row r="108" spans="1:4" x14ac:dyDescent="0.25">
      <c r="A108" t="s">
        <v>80</v>
      </c>
      <c r="B108">
        <v>1</v>
      </c>
      <c r="C108">
        <v>17</v>
      </c>
      <c r="D108">
        <v>883.14095383782603</v>
      </c>
    </row>
    <row r="109" spans="1:4" x14ac:dyDescent="0.25">
      <c r="A109" t="s">
        <v>79</v>
      </c>
      <c r="B109">
        <v>3</v>
      </c>
      <c r="C109">
        <v>25</v>
      </c>
      <c r="D109">
        <v>16733.975098182</v>
      </c>
    </row>
    <row r="110" spans="1:4" x14ac:dyDescent="0.25">
      <c r="A110" t="s">
        <v>61</v>
      </c>
      <c r="B110">
        <v>3</v>
      </c>
      <c r="C110">
        <v>1</v>
      </c>
      <c r="D110">
        <v>2248.1716716251099</v>
      </c>
    </row>
    <row r="111" spans="1:4" x14ac:dyDescent="0.25">
      <c r="A111" t="s">
        <v>78</v>
      </c>
      <c r="B111">
        <v>4</v>
      </c>
      <c r="C111">
        <v>29</v>
      </c>
      <c r="D111">
        <v>16883.527099147599</v>
      </c>
    </row>
    <row r="112" spans="1:4" x14ac:dyDescent="0.25">
      <c r="A112" t="s">
        <v>80</v>
      </c>
      <c r="B112">
        <v>1</v>
      </c>
      <c r="C112">
        <v>18</v>
      </c>
      <c r="D112">
        <v>1996.7202181007599</v>
      </c>
    </row>
    <row r="113" spans="1:4" x14ac:dyDescent="0.25">
      <c r="A113" t="s">
        <v>79</v>
      </c>
      <c r="B113">
        <v>3</v>
      </c>
      <c r="C113">
        <v>26</v>
      </c>
      <c r="D113">
        <v>13365.937850402801</v>
      </c>
    </row>
    <row r="114" spans="1:4" x14ac:dyDescent="0.25">
      <c r="A114" t="s">
        <v>61</v>
      </c>
      <c r="B114">
        <v>3</v>
      </c>
      <c r="C114">
        <v>2</v>
      </c>
      <c r="D114">
        <v>1237.6605206947499</v>
      </c>
    </row>
    <row r="115" spans="1:4" x14ac:dyDescent="0.25">
      <c r="A115" t="s">
        <v>78</v>
      </c>
      <c r="B115">
        <v>4</v>
      </c>
      <c r="C115">
        <v>30</v>
      </c>
      <c r="D115">
        <v>13415.5666212707</v>
      </c>
    </row>
    <row r="116" spans="1:4" x14ac:dyDescent="0.25">
      <c r="A116" t="s">
        <v>80</v>
      </c>
      <c r="B116">
        <v>1</v>
      </c>
      <c r="C116">
        <v>19</v>
      </c>
      <c r="D116">
        <v>691.78223057049195</v>
      </c>
    </row>
    <row r="117" spans="1:4" x14ac:dyDescent="0.25">
      <c r="A117" t="s">
        <v>79</v>
      </c>
      <c r="B117">
        <v>3</v>
      </c>
      <c r="C117">
        <v>27</v>
      </c>
      <c r="D117">
        <v>15631.1060506545</v>
      </c>
    </row>
    <row r="118" spans="1:4" x14ac:dyDescent="0.25">
      <c r="A118" t="s">
        <v>61</v>
      </c>
      <c r="B118">
        <v>3</v>
      </c>
      <c r="C118">
        <v>3</v>
      </c>
      <c r="D118">
        <v>8308.9347497756207</v>
      </c>
    </row>
    <row r="119" spans="1:4" x14ac:dyDescent="0.25">
      <c r="A119" t="s">
        <v>80</v>
      </c>
      <c r="B119">
        <v>1</v>
      </c>
      <c r="C119">
        <v>20</v>
      </c>
      <c r="D119">
        <v>731.19211508201397</v>
      </c>
    </row>
    <row r="120" spans="1:4" x14ac:dyDescent="0.25">
      <c r="A120" t="s">
        <v>79</v>
      </c>
      <c r="B120">
        <v>3</v>
      </c>
      <c r="C120">
        <v>28</v>
      </c>
      <c r="D120">
        <v>8387.6390634307809</v>
      </c>
    </row>
    <row r="121" spans="1:4" x14ac:dyDescent="0.25">
      <c r="A121" t="s">
        <v>61</v>
      </c>
      <c r="B121">
        <v>3</v>
      </c>
      <c r="C121">
        <v>4</v>
      </c>
      <c r="D121">
        <v>3327.57438218996</v>
      </c>
    </row>
    <row r="122" spans="1:4" x14ac:dyDescent="0.25">
      <c r="A122" t="s">
        <v>78</v>
      </c>
      <c r="B122">
        <v>5</v>
      </c>
      <c r="C122">
        <v>1</v>
      </c>
      <c r="D122">
        <v>9294.6155677890201</v>
      </c>
    </row>
    <row r="123" spans="1:4" x14ac:dyDescent="0.25">
      <c r="A123" t="s">
        <v>80</v>
      </c>
      <c r="B123">
        <v>1</v>
      </c>
      <c r="C123">
        <v>21</v>
      </c>
      <c r="D123">
        <v>723.41921135294501</v>
      </c>
    </row>
    <row r="124" spans="1:4" x14ac:dyDescent="0.25">
      <c r="A124" t="s">
        <v>79</v>
      </c>
      <c r="B124">
        <v>3</v>
      </c>
      <c r="C124">
        <v>29</v>
      </c>
      <c r="D124">
        <v>2118.26710622992</v>
      </c>
    </row>
    <row r="125" spans="1:4" x14ac:dyDescent="0.25">
      <c r="A125" t="s">
        <v>61</v>
      </c>
      <c r="B125">
        <v>3</v>
      </c>
      <c r="C125">
        <v>5</v>
      </c>
      <c r="D125">
        <v>4905.0275691863499</v>
      </c>
    </row>
    <row r="126" spans="1:4" x14ac:dyDescent="0.25">
      <c r="A126" t="s">
        <v>78</v>
      </c>
      <c r="B126">
        <v>5</v>
      </c>
      <c r="C126">
        <v>2</v>
      </c>
      <c r="D126">
        <v>8855.66003127769</v>
      </c>
    </row>
    <row r="127" spans="1:4" x14ac:dyDescent="0.25">
      <c r="A127" t="s">
        <v>80</v>
      </c>
      <c r="B127">
        <v>1</v>
      </c>
      <c r="C127">
        <v>22</v>
      </c>
      <c r="D127">
        <v>411.11715190548199</v>
      </c>
    </row>
    <row r="128" spans="1:4" x14ac:dyDescent="0.25">
      <c r="A128" t="s">
        <v>79</v>
      </c>
      <c r="B128">
        <v>3</v>
      </c>
      <c r="C128">
        <v>30</v>
      </c>
      <c r="D128">
        <v>15239.299823073599</v>
      </c>
    </row>
    <row r="129" spans="1:4" x14ac:dyDescent="0.25">
      <c r="A129" t="s">
        <v>81</v>
      </c>
      <c r="B129">
        <v>1</v>
      </c>
      <c r="C129">
        <v>1</v>
      </c>
      <c r="D129">
        <v>803.34516536188505</v>
      </c>
    </row>
    <row r="130" spans="1:4" x14ac:dyDescent="0.25">
      <c r="A130" t="s">
        <v>61</v>
      </c>
      <c r="B130">
        <v>3</v>
      </c>
      <c r="C130">
        <v>6</v>
      </c>
      <c r="D130">
        <v>8970.2110845438492</v>
      </c>
    </row>
    <row r="131" spans="1:4" x14ac:dyDescent="0.25">
      <c r="A131" t="s">
        <v>78</v>
      </c>
      <c r="B131">
        <v>5</v>
      </c>
      <c r="C131">
        <v>3</v>
      </c>
      <c r="D131">
        <v>15782.008328673801</v>
      </c>
    </row>
    <row r="132" spans="1:4" x14ac:dyDescent="0.25">
      <c r="A132" t="s">
        <v>80</v>
      </c>
      <c r="B132">
        <v>1</v>
      </c>
      <c r="C132">
        <v>23</v>
      </c>
      <c r="D132">
        <v>434.04996470157101</v>
      </c>
    </row>
    <row r="133" spans="1:4" x14ac:dyDescent="0.25">
      <c r="A133" t="s">
        <v>79</v>
      </c>
      <c r="B133">
        <v>3</v>
      </c>
      <c r="C133">
        <v>31</v>
      </c>
      <c r="D133">
        <v>6743.5138453255004</v>
      </c>
    </row>
    <row r="134" spans="1:4" x14ac:dyDescent="0.25">
      <c r="A134" t="s">
        <v>81</v>
      </c>
      <c r="B134">
        <v>1</v>
      </c>
      <c r="C134">
        <v>2</v>
      </c>
      <c r="D134">
        <v>671.97977247858705</v>
      </c>
    </row>
    <row r="135" spans="1:4" x14ac:dyDescent="0.25">
      <c r="A135" t="s">
        <v>61</v>
      </c>
      <c r="B135">
        <v>3</v>
      </c>
      <c r="C135">
        <v>7</v>
      </c>
      <c r="D135">
        <v>6380.5582245078504</v>
      </c>
    </row>
    <row r="136" spans="1:4" x14ac:dyDescent="0.25">
      <c r="A136" t="s">
        <v>78</v>
      </c>
      <c r="B136">
        <v>5</v>
      </c>
      <c r="C136">
        <v>4</v>
      </c>
      <c r="D136">
        <v>6259.3943729495704</v>
      </c>
    </row>
    <row r="137" spans="1:4" x14ac:dyDescent="0.25">
      <c r="A137" t="s">
        <v>80</v>
      </c>
      <c r="B137">
        <v>1</v>
      </c>
      <c r="C137">
        <v>24</v>
      </c>
      <c r="D137">
        <v>6473.9003557741698</v>
      </c>
    </row>
    <row r="138" spans="1:4" x14ac:dyDescent="0.25">
      <c r="A138" t="s">
        <v>79</v>
      </c>
      <c r="B138">
        <v>4</v>
      </c>
      <c r="C138">
        <v>1</v>
      </c>
      <c r="D138">
        <v>14377.248843514401</v>
      </c>
    </row>
    <row r="139" spans="1:4" x14ac:dyDescent="0.25">
      <c r="A139" t="s">
        <v>81</v>
      </c>
      <c r="B139">
        <v>1</v>
      </c>
      <c r="C139">
        <v>3</v>
      </c>
      <c r="D139">
        <v>680.209413521746</v>
      </c>
    </row>
    <row r="140" spans="1:4" x14ac:dyDescent="0.25">
      <c r="A140" t="s">
        <v>61</v>
      </c>
      <c r="B140">
        <v>3</v>
      </c>
      <c r="C140">
        <v>8</v>
      </c>
      <c r="D140">
        <v>5834.6995564710896</v>
      </c>
    </row>
    <row r="141" spans="1:4" x14ac:dyDescent="0.25">
      <c r="A141" t="s">
        <v>78</v>
      </c>
      <c r="B141">
        <v>5</v>
      </c>
      <c r="C141">
        <v>5</v>
      </c>
      <c r="D141">
        <v>14385.418727726499</v>
      </c>
    </row>
    <row r="142" spans="1:4" x14ac:dyDescent="0.25">
      <c r="A142" t="s">
        <v>80</v>
      </c>
      <c r="B142">
        <v>1</v>
      </c>
      <c r="C142">
        <v>25</v>
      </c>
      <c r="D142">
        <v>1611.68019987704</v>
      </c>
    </row>
    <row r="143" spans="1:4" x14ac:dyDescent="0.25">
      <c r="A143" t="s">
        <v>79</v>
      </c>
      <c r="B143">
        <v>4</v>
      </c>
      <c r="C143">
        <v>2</v>
      </c>
      <c r="D143">
        <v>6416.8300536052402</v>
      </c>
    </row>
    <row r="144" spans="1:4" x14ac:dyDescent="0.25">
      <c r="A144" t="s">
        <v>81</v>
      </c>
      <c r="B144">
        <v>1</v>
      </c>
      <c r="C144">
        <v>4</v>
      </c>
      <c r="D144">
        <v>669.14958733490801</v>
      </c>
    </row>
    <row r="145" spans="1:4" x14ac:dyDescent="0.25">
      <c r="A145" t="s">
        <v>61</v>
      </c>
      <c r="B145">
        <v>3</v>
      </c>
      <c r="C145">
        <v>9</v>
      </c>
      <c r="D145">
        <v>16807.400870113899</v>
      </c>
    </row>
    <row r="146" spans="1:4" x14ac:dyDescent="0.25">
      <c r="A146" t="s">
        <v>78</v>
      </c>
      <c r="B146">
        <v>5</v>
      </c>
      <c r="C146">
        <v>6</v>
      </c>
      <c r="D146">
        <v>2530.59146400803</v>
      </c>
    </row>
    <row r="147" spans="1:4" x14ac:dyDescent="0.25">
      <c r="A147" t="s">
        <v>80</v>
      </c>
      <c r="B147">
        <v>1</v>
      </c>
      <c r="C147">
        <v>26</v>
      </c>
      <c r="D147">
        <v>3888.96350964667</v>
      </c>
    </row>
    <row r="148" spans="1:4" x14ac:dyDescent="0.25">
      <c r="A148" t="s">
        <v>79</v>
      </c>
      <c r="B148">
        <v>4</v>
      </c>
      <c r="C148">
        <v>3</v>
      </c>
      <c r="D148">
        <v>2139.6211717026599</v>
      </c>
    </row>
    <row r="149" spans="1:4" x14ac:dyDescent="0.25">
      <c r="A149" t="s">
        <v>81</v>
      </c>
      <c r="B149">
        <v>1</v>
      </c>
      <c r="C149">
        <v>5</v>
      </c>
      <c r="D149">
        <v>666.77295452440399</v>
      </c>
    </row>
    <row r="150" spans="1:4" x14ac:dyDescent="0.25">
      <c r="A150" t="s">
        <v>61</v>
      </c>
      <c r="B150">
        <v>3</v>
      </c>
      <c r="C150">
        <v>10</v>
      </c>
      <c r="D150">
        <v>6513.5422891533199</v>
      </c>
    </row>
    <row r="151" spans="1:4" x14ac:dyDescent="0.25">
      <c r="A151" t="s">
        <v>78</v>
      </c>
      <c r="B151">
        <v>5</v>
      </c>
      <c r="C151">
        <v>7</v>
      </c>
      <c r="D151">
        <v>2487.4461045551302</v>
      </c>
    </row>
    <row r="152" spans="1:4" x14ac:dyDescent="0.25">
      <c r="A152" t="s">
        <v>80</v>
      </c>
      <c r="B152">
        <v>1</v>
      </c>
      <c r="C152">
        <v>27</v>
      </c>
      <c r="D152">
        <v>3719.8158868615401</v>
      </c>
    </row>
    <row r="153" spans="1:4" x14ac:dyDescent="0.25">
      <c r="A153" t="s">
        <v>79</v>
      </c>
      <c r="B153">
        <v>4</v>
      </c>
      <c r="C153">
        <v>4</v>
      </c>
      <c r="D153">
        <v>10898.3255421471</v>
      </c>
    </row>
    <row r="154" spans="1:4" x14ac:dyDescent="0.25">
      <c r="A154" t="s">
        <v>81</v>
      </c>
      <c r="B154">
        <v>1</v>
      </c>
      <c r="C154">
        <v>6</v>
      </c>
      <c r="D154">
        <v>2303.7048103393099</v>
      </c>
    </row>
    <row r="155" spans="1:4" x14ac:dyDescent="0.25">
      <c r="A155" t="s">
        <v>61</v>
      </c>
      <c r="B155">
        <v>3</v>
      </c>
      <c r="C155">
        <v>11</v>
      </c>
      <c r="D155">
        <v>3361.4098761594501</v>
      </c>
    </row>
    <row r="156" spans="1:4" x14ac:dyDescent="0.25">
      <c r="A156" t="s">
        <v>78</v>
      </c>
      <c r="B156">
        <v>5</v>
      </c>
      <c r="C156">
        <v>8</v>
      </c>
      <c r="D156">
        <v>17437.361171533001</v>
      </c>
    </row>
    <row r="157" spans="1:4" x14ac:dyDescent="0.25">
      <c r="A157" t="s">
        <v>80</v>
      </c>
      <c r="B157">
        <v>1</v>
      </c>
      <c r="C157">
        <v>28</v>
      </c>
      <c r="D157">
        <v>5295.30371285211</v>
      </c>
    </row>
    <row r="158" spans="1:4" x14ac:dyDescent="0.25">
      <c r="A158" t="s">
        <v>79</v>
      </c>
      <c r="B158">
        <v>4</v>
      </c>
      <c r="C158">
        <v>5</v>
      </c>
      <c r="D158">
        <v>10731.9771913443</v>
      </c>
    </row>
    <row r="159" spans="1:4" x14ac:dyDescent="0.25">
      <c r="A159" t="s">
        <v>81</v>
      </c>
      <c r="B159">
        <v>1</v>
      </c>
      <c r="C159">
        <v>7</v>
      </c>
      <c r="D159">
        <v>749.85993167506194</v>
      </c>
    </row>
    <row r="160" spans="1:4" x14ac:dyDescent="0.25">
      <c r="A160" t="s">
        <v>61</v>
      </c>
      <c r="B160">
        <v>3</v>
      </c>
      <c r="C160">
        <v>12</v>
      </c>
      <c r="D160">
        <v>6252.6180866140003</v>
      </c>
    </row>
    <row r="161" spans="1:4" x14ac:dyDescent="0.25">
      <c r="A161" t="s">
        <v>78</v>
      </c>
      <c r="B161">
        <v>5</v>
      </c>
      <c r="C161">
        <v>9</v>
      </c>
      <c r="D161">
        <v>6483.3306346613199</v>
      </c>
    </row>
    <row r="162" spans="1:4" x14ac:dyDescent="0.25">
      <c r="A162" t="s">
        <v>80</v>
      </c>
      <c r="B162">
        <v>1</v>
      </c>
      <c r="C162">
        <v>29</v>
      </c>
      <c r="D162">
        <v>13738.061408716299</v>
      </c>
    </row>
    <row r="163" spans="1:4" x14ac:dyDescent="0.25">
      <c r="A163" t="s">
        <v>79</v>
      </c>
      <c r="B163">
        <v>4</v>
      </c>
      <c r="C163">
        <v>6</v>
      </c>
      <c r="D163">
        <v>15721.288357945001</v>
      </c>
    </row>
    <row r="164" spans="1:4" x14ac:dyDescent="0.25">
      <c r="A164" t="s">
        <v>81</v>
      </c>
      <c r="B164">
        <v>1</v>
      </c>
      <c r="C164">
        <v>8</v>
      </c>
      <c r="D164">
        <v>744.27648277571495</v>
      </c>
    </row>
    <row r="165" spans="1:4" x14ac:dyDescent="0.25">
      <c r="A165" t="s">
        <v>61</v>
      </c>
      <c r="B165">
        <v>3</v>
      </c>
      <c r="C165">
        <v>13</v>
      </c>
      <c r="D165">
        <v>3917.18651193807</v>
      </c>
    </row>
    <row r="166" spans="1:4" x14ac:dyDescent="0.25">
      <c r="A166" t="s">
        <v>78</v>
      </c>
      <c r="B166">
        <v>5</v>
      </c>
      <c r="C166">
        <v>10</v>
      </c>
      <c r="D166">
        <v>8182.6836234273196</v>
      </c>
    </row>
    <row r="167" spans="1:4" x14ac:dyDescent="0.25">
      <c r="A167" t="s">
        <v>80</v>
      </c>
      <c r="B167">
        <v>1</v>
      </c>
      <c r="C167">
        <v>30</v>
      </c>
      <c r="D167">
        <v>4689.4092189324001</v>
      </c>
    </row>
    <row r="168" spans="1:4" x14ac:dyDescent="0.25">
      <c r="A168" t="s">
        <v>79</v>
      </c>
      <c r="B168">
        <v>4</v>
      </c>
      <c r="C168">
        <v>7</v>
      </c>
      <c r="D168">
        <v>20842.008176788499</v>
      </c>
    </row>
    <row r="169" spans="1:4" x14ac:dyDescent="0.25">
      <c r="A169" t="s">
        <v>81</v>
      </c>
      <c r="B169">
        <v>1</v>
      </c>
      <c r="C169">
        <v>9</v>
      </c>
      <c r="D169">
        <v>753.24721411725602</v>
      </c>
    </row>
    <row r="170" spans="1:4" x14ac:dyDescent="0.25">
      <c r="A170" t="s">
        <v>61</v>
      </c>
      <c r="B170">
        <v>3</v>
      </c>
      <c r="C170">
        <v>14</v>
      </c>
      <c r="D170">
        <v>2655.3151548507599</v>
      </c>
    </row>
    <row r="171" spans="1:4" x14ac:dyDescent="0.25">
      <c r="A171" t="s">
        <v>78</v>
      </c>
      <c r="B171">
        <v>5</v>
      </c>
      <c r="C171">
        <v>11</v>
      </c>
      <c r="D171">
        <v>6291.7533552814602</v>
      </c>
    </row>
    <row r="172" spans="1:4" x14ac:dyDescent="0.25">
      <c r="A172" t="s">
        <v>80</v>
      </c>
      <c r="B172">
        <v>1</v>
      </c>
      <c r="C172">
        <v>31</v>
      </c>
      <c r="D172">
        <v>3542.4695460594298</v>
      </c>
    </row>
    <row r="173" spans="1:4" x14ac:dyDescent="0.25">
      <c r="A173" t="s">
        <v>79</v>
      </c>
      <c r="B173">
        <v>4</v>
      </c>
      <c r="C173">
        <v>8</v>
      </c>
      <c r="D173">
        <v>15400.143098640399</v>
      </c>
    </row>
    <row r="174" spans="1:4" x14ac:dyDescent="0.25">
      <c r="A174" t="s">
        <v>81</v>
      </c>
      <c r="B174">
        <v>1</v>
      </c>
      <c r="C174">
        <v>10</v>
      </c>
      <c r="D174">
        <v>633.55258880289398</v>
      </c>
    </row>
    <row r="175" spans="1:4" x14ac:dyDescent="0.25">
      <c r="A175" t="s">
        <v>61</v>
      </c>
      <c r="B175">
        <v>3</v>
      </c>
      <c r="C175">
        <v>15</v>
      </c>
      <c r="D175">
        <v>5159.4395795439405</v>
      </c>
    </row>
    <row r="176" spans="1:4" x14ac:dyDescent="0.25">
      <c r="A176" t="s">
        <v>78</v>
      </c>
      <c r="B176">
        <v>5</v>
      </c>
      <c r="C176">
        <v>12</v>
      </c>
      <c r="D176">
        <v>2447.3420177872699</v>
      </c>
    </row>
    <row r="177" spans="1:4" x14ac:dyDescent="0.25">
      <c r="A177" t="s">
        <v>80</v>
      </c>
      <c r="B177">
        <v>2</v>
      </c>
      <c r="C177">
        <v>1</v>
      </c>
      <c r="D177">
        <v>3895.6629445980798</v>
      </c>
    </row>
    <row r="178" spans="1:4" x14ac:dyDescent="0.25">
      <c r="A178" t="s">
        <v>79</v>
      </c>
      <c r="B178">
        <v>4</v>
      </c>
      <c r="C178">
        <v>9</v>
      </c>
      <c r="D178">
        <v>11071.511185097401</v>
      </c>
    </row>
    <row r="179" spans="1:4" x14ac:dyDescent="0.25">
      <c r="A179" t="s">
        <v>81</v>
      </c>
      <c r="B179">
        <v>1</v>
      </c>
      <c r="C179">
        <v>11</v>
      </c>
      <c r="D179">
        <v>491.98978101187902</v>
      </c>
    </row>
    <row r="180" spans="1:4" x14ac:dyDescent="0.25">
      <c r="A180" t="s">
        <v>61</v>
      </c>
      <c r="B180">
        <v>3</v>
      </c>
      <c r="C180">
        <v>16</v>
      </c>
      <c r="D180">
        <v>5838.4759536253996</v>
      </c>
    </row>
    <row r="181" spans="1:4" x14ac:dyDescent="0.25">
      <c r="A181" t="s">
        <v>78</v>
      </c>
      <c r="B181">
        <v>5</v>
      </c>
      <c r="C181">
        <v>13</v>
      </c>
      <c r="D181">
        <v>7493.4210829265403</v>
      </c>
    </row>
    <row r="182" spans="1:4" x14ac:dyDescent="0.25">
      <c r="A182" t="s">
        <v>80</v>
      </c>
      <c r="B182">
        <v>2</v>
      </c>
      <c r="C182">
        <v>2</v>
      </c>
      <c r="D182">
        <v>7559.7943373010003</v>
      </c>
    </row>
    <row r="183" spans="1:4" x14ac:dyDescent="0.25">
      <c r="A183" t="s">
        <v>79</v>
      </c>
      <c r="B183">
        <v>4</v>
      </c>
      <c r="C183">
        <v>10</v>
      </c>
      <c r="D183">
        <v>6645.0108098361998</v>
      </c>
    </row>
    <row r="184" spans="1:4" x14ac:dyDescent="0.25">
      <c r="A184" t="s">
        <v>81</v>
      </c>
      <c r="B184">
        <v>1</v>
      </c>
      <c r="C184">
        <v>12</v>
      </c>
      <c r="D184">
        <v>239.456744779818</v>
      </c>
    </row>
    <row r="185" spans="1:4" x14ac:dyDescent="0.25">
      <c r="A185" t="s">
        <v>61</v>
      </c>
      <c r="B185">
        <v>3</v>
      </c>
      <c r="C185">
        <v>17</v>
      </c>
      <c r="D185">
        <v>13843.024090041001</v>
      </c>
    </row>
    <row r="186" spans="1:4" x14ac:dyDescent="0.25">
      <c r="A186" t="s">
        <v>78</v>
      </c>
      <c r="B186">
        <v>5</v>
      </c>
      <c r="C186">
        <v>14</v>
      </c>
      <c r="D186">
        <v>3671.1981722662499</v>
      </c>
    </row>
    <row r="187" spans="1:4" x14ac:dyDescent="0.25">
      <c r="A187" t="s">
        <v>80</v>
      </c>
      <c r="B187">
        <v>2</v>
      </c>
      <c r="C187">
        <v>3</v>
      </c>
      <c r="D187">
        <v>1524.9564550776599</v>
      </c>
    </row>
    <row r="188" spans="1:4" x14ac:dyDescent="0.25">
      <c r="A188" t="s">
        <v>79</v>
      </c>
      <c r="B188">
        <v>4</v>
      </c>
      <c r="C188">
        <v>11</v>
      </c>
      <c r="D188">
        <v>13361.648385463601</v>
      </c>
    </row>
    <row r="189" spans="1:4" x14ac:dyDescent="0.25">
      <c r="A189" t="s">
        <v>81</v>
      </c>
      <c r="B189">
        <v>1</v>
      </c>
      <c r="C189">
        <v>13</v>
      </c>
      <c r="D189">
        <v>239.460041595776</v>
      </c>
    </row>
    <row r="190" spans="1:4" x14ac:dyDescent="0.25">
      <c r="A190" t="s">
        <v>61</v>
      </c>
      <c r="B190">
        <v>3</v>
      </c>
      <c r="C190">
        <v>18</v>
      </c>
      <c r="D190">
        <v>18275.760112400501</v>
      </c>
    </row>
    <row r="191" spans="1:4" x14ac:dyDescent="0.25">
      <c r="A191" t="s">
        <v>78</v>
      </c>
      <c r="B191">
        <v>5</v>
      </c>
      <c r="C191">
        <v>15</v>
      </c>
      <c r="D191">
        <v>6184.6764660122399</v>
      </c>
    </row>
    <row r="192" spans="1:4" x14ac:dyDescent="0.25">
      <c r="A192" t="s">
        <v>80</v>
      </c>
      <c r="B192">
        <v>2</v>
      </c>
      <c r="C192">
        <v>4</v>
      </c>
      <c r="D192">
        <v>4803.0714900305802</v>
      </c>
    </row>
    <row r="193" spans="1:4" x14ac:dyDescent="0.25">
      <c r="A193" t="s">
        <v>79</v>
      </c>
      <c r="B193">
        <v>4</v>
      </c>
      <c r="C193">
        <v>12</v>
      </c>
      <c r="D193">
        <v>6736.9267046569003</v>
      </c>
    </row>
    <row r="194" spans="1:4" x14ac:dyDescent="0.25">
      <c r="A194" t="s">
        <v>81</v>
      </c>
      <c r="B194">
        <v>1</v>
      </c>
      <c r="C194">
        <v>14</v>
      </c>
      <c r="D194">
        <v>212.737958802571</v>
      </c>
    </row>
    <row r="195" spans="1:4" x14ac:dyDescent="0.25">
      <c r="A195" t="s">
        <v>61</v>
      </c>
      <c r="B195">
        <v>3</v>
      </c>
      <c r="C195">
        <v>19</v>
      </c>
      <c r="D195">
        <v>4931.4057585828205</v>
      </c>
    </row>
    <row r="196" spans="1:4" x14ac:dyDescent="0.25">
      <c r="A196" t="s">
        <v>78</v>
      </c>
      <c r="B196">
        <v>5</v>
      </c>
      <c r="C196">
        <v>16</v>
      </c>
      <c r="D196">
        <v>10052.551238756399</v>
      </c>
    </row>
    <row r="197" spans="1:4" x14ac:dyDescent="0.25">
      <c r="A197" t="s">
        <v>80</v>
      </c>
      <c r="B197">
        <v>2</v>
      </c>
      <c r="C197">
        <v>5</v>
      </c>
      <c r="D197">
        <v>4901.8242428865997</v>
      </c>
    </row>
    <row r="198" spans="1:4" x14ac:dyDescent="0.25">
      <c r="A198" t="s">
        <v>79</v>
      </c>
      <c r="B198">
        <v>4</v>
      </c>
      <c r="C198">
        <v>13</v>
      </c>
      <c r="D198">
        <v>2258.6225994582901</v>
      </c>
    </row>
    <row r="199" spans="1:4" x14ac:dyDescent="0.25">
      <c r="A199" t="s">
        <v>81</v>
      </c>
      <c r="B199">
        <v>1</v>
      </c>
      <c r="C199">
        <v>15</v>
      </c>
      <c r="D199">
        <v>636.772146036241</v>
      </c>
    </row>
    <row r="200" spans="1:4" x14ac:dyDescent="0.25">
      <c r="A200" t="s">
        <v>61</v>
      </c>
      <c r="B200">
        <v>3</v>
      </c>
      <c r="C200">
        <v>20</v>
      </c>
      <c r="D200">
        <v>3592.0430642471201</v>
      </c>
    </row>
    <row r="201" spans="1:4" x14ac:dyDescent="0.25">
      <c r="A201" t="s">
        <v>78</v>
      </c>
      <c r="B201">
        <v>5</v>
      </c>
      <c r="C201">
        <v>17</v>
      </c>
      <c r="D201">
        <v>6089.27638604601</v>
      </c>
    </row>
    <row r="202" spans="1:4" x14ac:dyDescent="0.25">
      <c r="A202" t="s">
        <v>80</v>
      </c>
      <c r="B202">
        <v>2</v>
      </c>
      <c r="C202">
        <v>6</v>
      </c>
      <c r="D202">
        <v>3578.82436846976</v>
      </c>
    </row>
    <row r="203" spans="1:4" x14ac:dyDescent="0.25">
      <c r="A203" t="s">
        <v>79</v>
      </c>
      <c r="B203">
        <v>4</v>
      </c>
      <c r="C203">
        <v>14</v>
      </c>
      <c r="D203">
        <v>6801.9230998129096</v>
      </c>
    </row>
    <row r="204" spans="1:4" x14ac:dyDescent="0.25">
      <c r="A204" t="s">
        <v>81</v>
      </c>
      <c r="B204">
        <v>1</v>
      </c>
      <c r="C204">
        <v>16</v>
      </c>
      <c r="D204">
        <v>614.82048359892497</v>
      </c>
    </row>
    <row r="205" spans="1:4" x14ac:dyDescent="0.25">
      <c r="A205" t="s">
        <v>61</v>
      </c>
      <c r="B205">
        <v>3</v>
      </c>
      <c r="C205">
        <v>21</v>
      </c>
      <c r="D205">
        <v>2359.5596359644301</v>
      </c>
    </row>
    <row r="206" spans="1:4" x14ac:dyDescent="0.25">
      <c r="A206" t="s">
        <v>78</v>
      </c>
      <c r="B206">
        <v>5</v>
      </c>
      <c r="C206">
        <v>18</v>
      </c>
      <c r="D206">
        <v>8192.6134301078491</v>
      </c>
    </row>
    <row r="207" spans="1:4" x14ac:dyDescent="0.25">
      <c r="A207" t="s">
        <v>80</v>
      </c>
      <c r="B207">
        <v>2</v>
      </c>
      <c r="C207">
        <v>7</v>
      </c>
      <c r="D207">
        <v>2020.7943571440101</v>
      </c>
    </row>
    <row r="208" spans="1:4" x14ac:dyDescent="0.25">
      <c r="A208" t="s">
        <v>79</v>
      </c>
      <c r="B208">
        <v>4</v>
      </c>
      <c r="C208">
        <v>15</v>
      </c>
      <c r="D208">
        <v>6710.6269618920796</v>
      </c>
    </row>
    <row r="209" spans="1:4" x14ac:dyDescent="0.25">
      <c r="A209" t="s">
        <v>81</v>
      </c>
      <c r="B209">
        <v>1</v>
      </c>
      <c r="C209">
        <v>17</v>
      </c>
      <c r="D209">
        <v>515.51420926723404</v>
      </c>
    </row>
    <row r="210" spans="1:4" x14ac:dyDescent="0.25">
      <c r="A210" t="s">
        <v>61</v>
      </c>
      <c r="B210">
        <v>3</v>
      </c>
      <c r="C210">
        <v>22</v>
      </c>
      <c r="D210">
        <v>7080.8697614251696</v>
      </c>
    </row>
    <row r="211" spans="1:4" x14ac:dyDescent="0.25">
      <c r="A211" t="s">
        <v>78</v>
      </c>
      <c r="B211">
        <v>5</v>
      </c>
      <c r="C211">
        <v>19</v>
      </c>
      <c r="D211">
        <v>2389.8373645416</v>
      </c>
    </row>
    <row r="212" spans="1:4" x14ac:dyDescent="0.25">
      <c r="A212" t="s">
        <v>80</v>
      </c>
      <c r="B212">
        <v>2</v>
      </c>
      <c r="C212">
        <v>8</v>
      </c>
      <c r="D212">
        <v>7359.10432144276</v>
      </c>
    </row>
    <row r="213" spans="1:4" x14ac:dyDescent="0.25">
      <c r="A213" t="s">
        <v>79</v>
      </c>
      <c r="B213">
        <v>4</v>
      </c>
      <c r="C213">
        <v>16</v>
      </c>
      <c r="D213">
        <v>6841.4734858178899</v>
      </c>
    </row>
    <row r="214" spans="1:4" x14ac:dyDescent="0.25">
      <c r="A214" t="s">
        <v>81</v>
      </c>
      <c r="B214">
        <v>1</v>
      </c>
      <c r="C214">
        <v>18</v>
      </c>
      <c r="D214">
        <v>197.13595373205899</v>
      </c>
    </row>
    <row r="215" spans="1:4" x14ac:dyDescent="0.25">
      <c r="A215" t="s">
        <v>61</v>
      </c>
      <c r="B215">
        <v>3</v>
      </c>
      <c r="C215">
        <v>23</v>
      </c>
      <c r="D215">
        <v>11877.1950732186</v>
      </c>
    </row>
    <row r="216" spans="1:4" x14ac:dyDescent="0.25">
      <c r="A216" t="s">
        <v>78</v>
      </c>
      <c r="B216">
        <v>5</v>
      </c>
      <c r="C216">
        <v>20</v>
      </c>
      <c r="D216">
        <v>4652.97327968027</v>
      </c>
    </row>
    <row r="217" spans="1:4" x14ac:dyDescent="0.25">
      <c r="A217" t="s">
        <v>80</v>
      </c>
      <c r="B217">
        <v>2</v>
      </c>
      <c r="C217">
        <v>9</v>
      </c>
      <c r="D217">
        <v>2140.90468390766</v>
      </c>
    </row>
    <row r="218" spans="1:4" x14ac:dyDescent="0.25">
      <c r="A218" t="s">
        <v>79</v>
      </c>
      <c r="B218">
        <v>4</v>
      </c>
      <c r="C218">
        <v>17</v>
      </c>
      <c r="D218">
        <v>11426.693393059701</v>
      </c>
    </row>
    <row r="219" spans="1:4" x14ac:dyDescent="0.25">
      <c r="A219" t="s">
        <v>81</v>
      </c>
      <c r="B219">
        <v>1</v>
      </c>
      <c r="C219">
        <v>19</v>
      </c>
      <c r="D219">
        <v>198.40580912580199</v>
      </c>
    </row>
    <row r="220" spans="1:4" x14ac:dyDescent="0.25">
      <c r="A220" t="s">
        <v>61</v>
      </c>
      <c r="B220">
        <v>3</v>
      </c>
      <c r="C220">
        <v>24</v>
      </c>
      <c r="D220">
        <v>6191.9743005543196</v>
      </c>
    </row>
    <row r="221" spans="1:4" x14ac:dyDescent="0.25">
      <c r="A221" t="s">
        <v>78</v>
      </c>
      <c r="B221">
        <v>5</v>
      </c>
      <c r="C221">
        <v>21</v>
      </c>
      <c r="D221">
        <v>10964.4434026897</v>
      </c>
    </row>
    <row r="222" spans="1:4" x14ac:dyDescent="0.25">
      <c r="A222" t="s">
        <v>80</v>
      </c>
      <c r="B222">
        <v>2</v>
      </c>
      <c r="C222">
        <v>10</v>
      </c>
      <c r="D222">
        <v>4663.0721522484801</v>
      </c>
    </row>
    <row r="223" spans="1:4" x14ac:dyDescent="0.25">
      <c r="A223" t="s">
        <v>79</v>
      </c>
      <c r="B223">
        <v>4</v>
      </c>
      <c r="C223">
        <v>18</v>
      </c>
      <c r="D223">
        <v>11613.625452619</v>
      </c>
    </row>
    <row r="224" spans="1:4" x14ac:dyDescent="0.25">
      <c r="A224" t="s">
        <v>61</v>
      </c>
      <c r="B224">
        <v>3</v>
      </c>
      <c r="C224">
        <v>25</v>
      </c>
      <c r="D224">
        <v>25254.964231889498</v>
      </c>
    </row>
    <row r="225" spans="1:4" x14ac:dyDescent="0.25">
      <c r="A225" t="s">
        <v>78</v>
      </c>
      <c r="B225">
        <v>5</v>
      </c>
      <c r="C225">
        <v>22</v>
      </c>
      <c r="D225">
        <v>2791.6171788317602</v>
      </c>
    </row>
    <row r="226" spans="1:4" x14ac:dyDescent="0.25">
      <c r="A226" t="s">
        <v>80</v>
      </c>
      <c r="B226">
        <v>2</v>
      </c>
      <c r="C226">
        <v>11</v>
      </c>
      <c r="D226">
        <v>7021.5047050143403</v>
      </c>
    </row>
    <row r="227" spans="1:4" x14ac:dyDescent="0.25">
      <c r="A227" t="s">
        <v>79</v>
      </c>
      <c r="B227">
        <v>4</v>
      </c>
      <c r="C227">
        <v>19</v>
      </c>
      <c r="D227">
        <v>9174.0311289457204</v>
      </c>
    </row>
    <row r="228" spans="1:4" x14ac:dyDescent="0.25">
      <c r="A228" t="s">
        <v>61</v>
      </c>
      <c r="B228">
        <v>3</v>
      </c>
      <c r="C228">
        <v>26</v>
      </c>
      <c r="D228">
        <v>10121.5533936054</v>
      </c>
    </row>
    <row r="229" spans="1:4" x14ac:dyDescent="0.25">
      <c r="A229" t="s">
        <v>78</v>
      </c>
      <c r="B229">
        <v>5</v>
      </c>
      <c r="C229">
        <v>23</v>
      </c>
      <c r="D229">
        <v>6626.9661599005103</v>
      </c>
    </row>
    <row r="230" spans="1:4" x14ac:dyDescent="0.25">
      <c r="A230" t="s">
        <v>80</v>
      </c>
      <c r="B230">
        <v>2</v>
      </c>
      <c r="C230">
        <v>12</v>
      </c>
      <c r="D230">
        <v>4487.42325809668</v>
      </c>
    </row>
    <row r="231" spans="1:4" x14ac:dyDescent="0.25">
      <c r="A231" t="s">
        <v>79</v>
      </c>
      <c r="B231">
        <v>4</v>
      </c>
      <c r="C231">
        <v>20</v>
      </c>
      <c r="D231">
        <v>10029.151629142299</v>
      </c>
    </row>
    <row r="232" spans="1:4" x14ac:dyDescent="0.25">
      <c r="A232" t="s">
        <v>61</v>
      </c>
      <c r="B232">
        <v>3</v>
      </c>
      <c r="C232">
        <v>27</v>
      </c>
      <c r="D232">
        <v>9273.5150512623695</v>
      </c>
    </row>
    <row r="233" spans="1:4" x14ac:dyDescent="0.25">
      <c r="A233" t="s">
        <v>78</v>
      </c>
      <c r="B233">
        <v>5</v>
      </c>
      <c r="C233">
        <v>24</v>
      </c>
      <c r="D233">
        <v>6426.6484609051504</v>
      </c>
    </row>
    <row r="234" spans="1:4" x14ac:dyDescent="0.25">
      <c r="A234" t="s">
        <v>80</v>
      </c>
      <c r="B234">
        <v>2</v>
      </c>
      <c r="C234">
        <v>13</v>
      </c>
      <c r="D234">
        <v>2295.3069337438401</v>
      </c>
    </row>
    <row r="235" spans="1:4" x14ac:dyDescent="0.25">
      <c r="A235" t="s">
        <v>79</v>
      </c>
      <c r="B235">
        <v>4</v>
      </c>
      <c r="C235">
        <v>21</v>
      </c>
      <c r="D235">
        <v>4378.8286102439997</v>
      </c>
    </row>
    <row r="236" spans="1:4" x14ac:dyDescent="0.25">
      <c r="A236" t="s">
        <v>61</v>
      </c>
      <c r="B236">
        <v>3</v>
      </c>
      <c r="C236">
        <v>28</v>
      </c>
      <c r="D236">
        <v>5407.7259440156304</v>
      </c>
    </row>
    <row r="237" spans="1:4" x14ac:dyDescent="0.25">
      <c r="A237" t="s">
        <v>78</v>
      </c>
      <c r="B237">
        <v>5</v>
      </c>
      <c r="C237">
        <v>25</v>
      </c>
      <c r="D237">
        <v>2679.7945490993102</v>
      </c>
    </row>
    <row r="238" spans="1:4" x14ac:dyDescent="0.25">
      <c r="A238" t="s">
        <v>80</v>
      </c>
      <c r="B238">
        <v>2</v>
      </c>
      <c r="C238">
        <v>14</v>
      </c>
      <c r="D238">
        <v>7931.5668085195502</v>
      </c>
    </row>
    <row r="239" spans="1:4" x14ac:dyDescent="0.25">
      <c r="A239" t="s">
        <v>79</v>
      </c>
      <c r="B239">
        <v>4</v>
      </c>
      <c r="C239">
        <v>22</v>
      </c>
      <c r="D239">
        <v>14350.970581093499</v>
      </c>
    </row>
    <row r="240" spans="1:4" x14ac:dyDescent="0.25">
      <c r="A240" t="s">
        <v>61</v>
      </c>
      <c r="B240">
        <v>3</v>
      </c>
      <c r="C240">
        <v>29</v>
      </c>
      <c r="D240">
        <v>2859.9932975075899</v>
      </c>
    </row>
    <row r="241" spans="1:4" x14ac:dyDescent="0.25">
      <c r="A241" t="s">
        <v>78</v>
      </c>
      <c r="B241">
        <v>5</v>
      </c>
      <c r="C241">
        <v>26</v>
      </c>
      <c r="D241">
        <v>9332.3369340236895</v>
      </c>
    </row>
    <row r="242" spans="1:4" x14ac:dyDescent="0.25">
      <c r="A242" t="s">
        <v>80</v>
      </c>
      <c r="B242">
        <v>2</v>
      </c>
      <c r="C242">
        <v>15</v>
      </c>
      <c r="D242">
        <v>7457.5215060013797</v>
      </c>
    </row>
    <row r="243" spans="1:4" x14ac:dyDescent="0.25">
      <c r="A243" t="s">
        <v>79</v>
      </c>
      <c r="B243">
        <v>4</v>
      </c>
      <c r="C243">
        <v>23</v>
      </c>
      <c r="D243">
        <v>11867.861008330099</v>
      </c>
    </row>
    <row r="244" spans="1:4" x14ac:dyDescent="0.25">
      <c r="A244" t="s">
        <v>61</v>
      </c>
      <c r="B244">
        <v>3</v>
      </c>
      <c r="C244">
        <v>30</v>
      </c>
      <c r="D244">
        <v>9532.7646312324196</v>
      </c>
    </row>
    <row r="245" spans="1:4" x14ac:dyDescent="0.25">
      <c r="A245" t="s">
        <v>78</v>
      </c>
      <c r="B245">
        <v>5</v>
      </c>
      <c r="C245">
        <v>27</v>
      </c>
      <c r="D245">
        <v>7581.7022606734999</v>
      </c>
    </row>
    <row r="246" spans="1:4" x14ac:dyDescent="0.25">
      <c r="A246" t="s">
        <v>80</v>
      </c>
      <c r="B246">
        <v>2</v>
      </c>
      <c r="C246">
        <v>16</v>
      </c>
      <c r="D246">
        <v>4497.5816270346804</v>
      </c>
    </row>
    <row r="247" spans="1:4" x14ac:dyDescent="0.25">
      <c r="A247" t="s">
        <v>79</v>
      </c>
      <c r="B247">
        <v>4</v>
      </c>
      <c r="C247">
        <v>24</v>
      </c>
      <c r="D247">
        <v>12019.630857398501</v>
      </c>
    </row>
    <row r="248" spans="1:4" x14ac:dyDescent="0.25">
      <c r="A248" t="s">
        <v>61</v>
      </c>
      <c r="B248">
        <v>3</v>
      </c>
      <c r="C248">
        <v>31</v>
      </c>
      <c r="D248">
        <v>4693.1112449376296</v>
      </c>
    </row>
    <row r="249" spans="1:4" x14ac:dyDescent="0.25">
      <c r="A249" t="s">
        <v>78</v>
      </c>
      <c r="B249">
        <v>5</v>
      </c>
      <c r="C249">
        <v>28</v>
      </c>
      <c r="D249">
        <v>7357.9035003764002</v>
      </c>
    </row>
    <row r="250" spans="1:4" x14ac:dyDescent="0.25">
      <c r="A250" t="s">
        <v>80</v>
      </c>
      <c r="B250">
        <v>2</v>
      </c>
      <c r="C250">
        <v>17</v>
      </c>
      <c r="D250">
        <v>6030.4018412064397</v>
      </c>
    </row>
    <row r="251" spans="1:4" x14ac:dyDescent="0.25">
      <c r="A251" t="s">
        <v>79</v>
      </c>
      <c r="B251">
        <v>4</v>
      </c>
      <c r="C251">
        <v>25</v>
      </c>
      <c r="D251">
        <v>3569.6621107978099</v>
      </c>
    </row>
    <row r="252" spans="1:4" x14ac:dyDescent="0.25">
      <c r="A252" t="s">
        <v>61</v>
      </c>
      <c r="B252">
        <v>4</v>
      </c>
      <c r="C252">
        <v>1</v>
      </c>
      <c r="D252">
        <v>2799.9496066573001</v>
      </c>
    </row>
    <row r="253" spans="1:4" x14ac:dyDescent="0.25">
      <c r="A253" t="s">
        <v>78</v>
      </c>
      <c r="B253">
        <v>5</v>
      </c>
      <c r="C253">
        <v>29</v>
      </c>
      <c r="D253">
        <v>18972.639016012999</v>
      </c>
    </row>
    <row r="254" spans="1:4" x14ac:dyDescent="0.25">
      <c r="A254" t="s">
        <v>80</v>
      </c>
      <c r="B254">
        <v>2</v>
      </c>
      <c r="C254">
        <v>18</v>
      </c>
      <c r="D254">
        <v>4787.2429296230703</v>
      </c>
    </row>
    <row r="255" spans="1:4" x14ac:dyDescent="0.25">
      <c r="A255" t="s">
        <v>79</v>
      </c>
      <c r="B255">
        <v>4</v>
      </c>
      <c r="C255">
        <v>26</v>
      </c>
      <c r="D255">
        <v>11172.543904866399</v>
      </c>
    </row>
    <row r="256" spans="1:4" x14ac:dyDescent="0.25">
      <c r="A256" t="s">
        <v>61</v>
      </c>
      <c r="B256">
        <v>4</v>
      </c>
      <c r="C256">
        <v>2</v>
      </c>
      <c r="D256">
        <v>4187.9804571646901</v>
      </c>
    </row>
    <row r="257" spans="1:4" x14ac:dyDescent="0.25">
      <c r="A257" t="s">
        <v>78</v>
      </c>
      <c r="B257">
        <v>5</v>
      </c>
      <c r="C257">
        <v>30</v>
      </c>
      <c r="D257">
        <v>7786.46556047371</v>
      </c>
    </row>
    <row r="258" spans="1:4" x14ac:dyDescent="0.25">
      <c r="A258" t="s">
        <v>80</v>
      </c>
      <c r="B258">
        <v>2</v>
      </c>
      <c r="C258">
        <v>19</v>
      </c>
      <c r="D258">
        <v>12289.4966254344</v>
      </c>
    </row>
    <row r="259" spans="1:4" x14ac:dyDescent="0.25">
      <c r="A259" t="s">
        <v>79</v>
      </c>
      <c r="B259">
        <v>4</v>
      </c>
      <c r="C259">
        <v>27</v>
      </c>
      <c r="D259">
        <v>7431.1559180434797</v>
      </c>
    </row>
    <row r="260" spans="1:4" x14ac:dyDescent="0.25">
      <c r="A260" t="s">
        <v>81</v>
      </c>
      <c r="B260">
        <v>1</v>
      </c>
      <c r="C260">
        <v>29</v>
      </c>
      <c r="D260">
        <v>604.22164035210903</v>
      </c>
    </row>
    <row r="261" spans="1:4" x14ac:dyDescent="0.25">
      <c r="A261" t="s">
        <v>61</v>
      </c>
      <c r="B261">
        <v>4</v>
      </c>
      <c r="C261">
        <v>3</v>
      </c>
      <c r="D261">
        <v>7955.0877336335498</v>
      </c>
    </row>
    <row r="262" spans="1:4" x14ac:dyDescent="0.25">
      <c r="A262" t="s">
        <v>78</v>
      </c>
      <c r="B262">
        <v>5</v>
      </c>
      <c r="C262">
        <v>31</v>
      </c>
      <c r="D262">
        <v>19598.6262319243</v>
      </c>
    </row>
    <row r="263" spans="1:4" x14ac:dyDescent="0.25">
      <c r="A263" t="s">
        <v>80</v>
      </c>
      <c r="B263">
        <v>2</v>
      </c>
      <c r="C263">
        <v>20</v>
      </c>
      <c r="D263">
        <v>9297.5673177742392</v>
      </c>
    </row>
    <row r="264" spans="1:4" x14ac:dyDescent="0.25">
      <c r="A264" t="s">
        <v>79</v>
      </c>
      <c r="B264">
        <v>4</v>
      </c>
      <c r="C264">
        <v>28</v>
      </c>
      <c r="D264">
        <v>9679.5130539752208</v>
      </c>
    </row>
    <row r="265" spans="1:4" x14ac:dyDescent="0.25">
      <c r="A265" t="s">
        <v>81</v>
      </c>
      <c r="B265">
        <v>1</v>
      </c>
      <c r="C265">
        <v>30</v>
      </c>
      <c r="D265">
        <v>204.16920839924799</v>
      </c>
    </row>
    <row r="266" spans="1:4" x14ac:dyDescent="0.25">
      <c r="A266" t="s">
        <v>61</v>
      </c>
      <c r="B266">
        <v>4</v>
      </c>
      <c r="C266">
        <v>4</v>
      </c>
      <c r="D266">
        <v>9508.1897599181193</v>
      </c>
    </row>
    <row r="267" spans="1:4" x14ac:dyDescent="0.25">
      <c r="A267" t="s">
        <v>79</v>
      </c>
      <c r="B267">
        <v>4</v>
      </c>
      <c r="C267">
        <v>29</v>
      </c>
      <c r="D267">
        <v>11808.8819741397</v>
      </c>
    </row>
    <row r="268" spans="1:4" x14ac:dyDescent="0.25">
      <c r="A268" t="s">
        <v>81</v>
      </c>
      <c r="B268">
        <v>1</v>
      </c>
      <c r="C268">
        <v>31</v>
      </c>
      <c r="D268">
        <v>1223.50664783569</v>
      </c>
    </row>
    <row r="269" spans="1:4" x14ac:dyDescent="0.25">
      <c r="A269" t="s">
        <v>61</v>
      </c>
      <c r="B269">
        <v>4</v>
      </c>
      <c r="C269">
        <v>5</v>
      </c>
      <c r="D269">
        <v>6511.4529633611201</v>
      </c>
    </row>
    <row r="270" spans="1:4" x14ac:dyDescent="0.25">
      <c r="A270" t="s">
        <v>79</v>
      </c>
      <c r="B270">
        <v>4</v>
      </c>
      <c r="C270">
        <v>30</v>
      </c>
      <c r="D270">
        <v>7317.7152955928505</v>
      </c>
    </row>
    <row r="271" spans="1:4" x14ac:dyDescent="0.25">
      <c r="A271" t="s">
        <v>81</v>
      </c>
      <c r="B271">
        <v>2</v>
      </c>
      <c r="C271">
        <v>1</v>
      </c>
      <c r="D271">
        <v>401.24724726568598</v>
      </c>
    </row>
    <row r="272" spans="1:4" x14ac:dyDescent="0.25">
      <c r="A272" t="s">
        <v>61</v>
      </c>
      <c r="B272">
        <v>4</v>
      </c>
      <c r="C272">
        <v>6</v>
      </c>
      <c r="D272">
        <v>7642.64719078488</v>
      </c>
    </row>
    <row r="273" spans="1:4" x14ac:dyDescent="0.25">
      <c r="A273" t="s">
        <v>81</v>
      </c>
      <c r="B273">
        <v>2</v>
      </c>
      <c r="C273">
        <v>2</v>
      </c>
      <c r="D273">
        <v>408.172655735555</v>
      </c>
    </row>
    <row r="274" spans="1:4" x14ac:dyDescent="0.25">
      <c r="A274" t="s">
        <v>61</v>
      </c>
      <c r="B274">
        <v>4</v>
      </c>
      <c r="C274">
        <v>7</v>
      </c>
      <c r="D274">
        <v>6952.0788721416502</v>
      </c>
    </row>
    <row r="275" spans="1:4" x14ac:dyDescent="0.25">
      <c r="A275" t="s">
        <v>79</v>
      </c>
      <c r="B275">
        <v>5</v>
      </c>
      <c r="C275">
        <v>1</v>
      </c>
      <c r="D275">
        <v>7051.3728936706102</v>
      </c>
    </row>
    <row r="276" spans="1:4" x14ac:dyDescent="0.25">
      <c r="A276" t="s">
        <v>81</v>
      </c>
      <c r="B276">
        <v>2</v>
      </c>
      <c r="C276">
        <v>3</v>
      </c>
      <c r="D276">
        <v>392.99686511207898</v>
      </c>
    </row>
    <row r="277" spans="1:4" x14ac:dyDescent="0.25">
      <c r="A277" t="s">
        <v>61</v>
      </c>
      <c r="B277">
        <v>4</v>
      </c>
      <c r="C277">
        <v>8</v>
      </c>
      <c r="D277">
        <v>7813.5029802689896</v>
      </c>
    </row>
    <row r="278" spans="1:4" x14ac:dyDescent="0.25">
      <c r="A278" t="s">
        <v>79</v>
      </c>
      <c r="B278">
        <v>5</v>
      </c>
      <c r="C278">
        <v>2</v>
      </c>
      <c r="D278">
        <v>7116.1377027216004</v>
      </c>
    </row>
    <row r="279" spans="1:4" x14ac:dyDescent="0.25">
      <c r="A279" t="s">
        <v>81</v>
      </c>
      <c r="B279">
        <v>2</v>
      </c>
      <c r="C279">
        <v>4</v>
      </c>
      <c r="D279">
        <v>392.95428724571502</v>
      </c>
    </row>
    <row r="280" spans="1:4" x14ac:dyDescent="0.25">
      <c r="A280" t="s">
        <v>61</v>
      </c>
      <c r="B280">
        <v>4</v>
      </c>
      <c r="C280">
        <v>9</v>
      </c>
      <c r="D280">
        <v>5685.5745055533998</v>
      </c>
    </row>
    <row r="281" spans="1:4" x14ac:dyDescent="0.25">
      <c r="A281" t="s">
        <v>80</v>
      </c>
      <c r="B281">
        <v>2</v>
      </c>
      <c r="C281">
        <v>26</v>
      </c>
      <c r="D281">
        <v>7629.1892068811403</v>
      </c>
    </row>
    <row r="282" spans="1:4" x14ac:dyDescent="0.25">
      <c r="A282" t="s">
        <v>79</v>
      </c>
      <c r="B282">
        <v>5</v>
      </c>
      <c r="C282">
        <v>3</v>
      </c>
      <c r="D282">
        <v>1130.76617522627</v>
      </c>
    </row>
    <row r="283" spans="1:4" x14ac:dyDescent="0.25">
      <c r="A283" t="s">
        <v>81</v>
      </c>
      <c r="B283">
        <v>2</v>
      </c>
      <c r="C283">
        <v>5</v>
      </c>
      <c r="D283">
        <v>395.31921396152597</v>
      </c>
    </row>
    <row r="284" spans="1:4" x14ac:dyDescent="0.25">
      <c r="A284" t="s">
        <v>61</v>
      </c>
      <c r="B284">
        <v>4</v>
      </c>
      <c r="C284">
        <v>10</v>
      </c>
      <c r="D284">
        <v>2659.52309728924</v>
      </c>
    </row>
    <row r="285" spans="1:4" x14ac:dyDescent="0.25">
      <c r="A285" t="s">
        <v>80</v>
      </c>
      <c r="B285">
        <v>2</v>
      </c>
      <c r="C285">
        <v>27</v>
      </c>
      <c r="D285">
        <v>7888.9761177465198</v>
      </c>
    </row>
    <row r="286" spans="1:4" x14ac:dyDescent="0.25">
      <c r="A286" t="s">
        <v>81</v>
      </c>
      <c r="B286">
        <v>2</v>
      </c>
      <c r="C286">
        <v>6</v>
      </c>
      <c r="D286">
        <v>406.877838398976</v>
      </c>
    </row>
    <row r="287" spans="1:4" x14ac:dyDescent="0.25">
      <c r="A287" t="s">
        <v>61</v>
      </c>
      <c r="B287">
        <v>4</v>
      </c>
      <c r="C287">
        <v>11</v>
      </c>
      <c r="D287">
        <v>9495.68984262712</v>
      </c>
    </row>
    <row r="288" spans="1:4" x14ac:dyDescent="0.25">
      <c r="A288" t="s">
        <v>80</v>
      </c>
      <c r="B288">
        <v>2</v>
      </c>
      <c r="C288">
        <v>28</v>
      </c>
      <c r="D288">
        <v>4871.1968572963297</v>
      </c>
    </row>
    <row r="289" spans="1:4" x14ac:dyDescent="0.25">
      <c r="A289" t="s">
        <v>81</v>
      </c>
      <c r="B289">
        <v>2</v>
      </c>
      <c r="C289">
        <v>7</v>
      </c>
      <c r="D289">
        <v>414.43855863700799</v>
      </c>
    </row>
    <row r="290" spans="1:4" x14ac:dyDescent="0.25">
      <c r="A290" t="s">
        <v>61</v>
      </c>
      <c r="B290">
        <v>4</v>
      </c>
      <c r="C290">
        <v>12</v>
      </c>
      <c r="D290">
        <v>5529.3654018697098</v>
      </c>
    </row>
    <row r="291" spans="1:4" x14ac:dyDescent="0.25">
      <c r="A291" t="s">
        <v>81</v>
      </c>
      <c r="B291">
        <v>2</v>
      </c>
      <c r="C291">
        <v>8</v>
      </c>
      <c r="D291">
        <v>415.906712336716</v>
      </c>
    </row>
    <row r="292" spans="1:4" x14ac:dyDescent="0.25">
      <c r="A292" t="s">
        <v>61</v>
      </c>
      <c r="B292">
        <v>4</v>
      </c>
      <c r="C292">
        <v>13</v>
      </c>
      <c r="D292">
        <v>1850.3241341554999</v>
      </c>
    </row>
    <row r="293" spans="1:4" x14ac:dyDescent="0.25">
      <c r="A293" t="s">
        <v>81</v>
      </c>
      <c r="B293">
        <v>2</v>
      </c>
      <c r="C293">
        <v>9</v>
      </c>
      <c r="D293">
        <v>414.76286435806998</v>
      </c>
    </row>
    <row r="294" spans="1:4" x14ac:dyDescent="0.25">
      <c r="A294" t="s">
        <v>61</v>
      </c>
      <c r="B294">
        <v>4</v>
      </c>
      <c r="C294">
        <v>14</v>
      </c>
      <c r="D294">
        <v>2818.9076103909501</v>
      </c>
    </row>
    <row r="295" spans="1:4" x14ac:dyDescent="0.25">
      <c r="A295" t="s">
        <v>81</v>
      </c>
      <c r="B295">
        <v>2</v>
      </c>
      <c r="C295">
        <v>10</v>
      </c>
      <c r="D295">
        <v>410.56775388381101</v>
      </c>
    </row>
    <row r="296" spans="1:4" x14ac:dyDescent="0.25">
      <c r="A296" t="s">
        <v>61</v>
      </c>
      <c r="B296">
        <v>4</v>
      </c>
      <c r="C296">
        <v>15</v>
      </c>
      <c r="D296">
        <v>2962.1031675068102</v>
      </c>
    </row>
    <row r="297" spans="1:4" x14ac:dyDescent="0.25">
      <c r="A297" t="s">
        <v>80</v>
      </c>
      <c r="B297">
        <v>3</v>
      </c>
      <c r="C297">
        <v>1</v>
      </c>
      <c r="D297">
        <v>4798.4101327238004</v>
      </c>
    </row>
    <row r="298" spans="1:4" x14ac:dyDescent="0.25">
      <c r="A298" t="s">
        <v>81</v>
      </c>
      <c r="B298">
        <v>2</v>
      </c>
      <c r="C298">
        <v>11</v>
      </c>
      <c r="D298">
        <v>407.07816501197402</v>
      </c>
    </row>
    <row r="299" spans="1:4" x14ac:dyDescent="0.25">
      <c r="A299" t="s">
        <v>61</v>
      </c>
      <c r="B299">
        <v>4</v>
      </c>
      <c r="C299">
        <v>16</v>
      </c>
      <c r="D299">
        <v>2924.23956209472</v>
      </c>
    </row>
    <row r="300" spans="1:4" x14ac:dyDescent="0.25">
      <c r="A300" t="s">
        <v>80</v>
      </c>
      <c r="B300">
        <v>3</v>
      </c>
      <c r="C300">
        <v>2</v>
      </c>
      <c r="D300">
        <v>1654.1066808164501</v>
      </c>
    </row>
    <row r="301" spans="1:4" x14ac:dyDescent="0.25">
      <c r="A301" t="s">
        <v>81</v>
      </c>
      <c r="B301">
        <v>2</v>
      </c>
      <c r="C301">
        <v>12</v>
      </c>
      <c r="D301">
        <v>245.31151151585101</v>
      </c>
    </row>
    <row r="302" spans="1:4" x14ac:dyDescent="0.25">
      <c r="A302" t="s">
        <v>61</v>
      </c>
      <c r="B302">
        <v>4</v>
      </c>
      <c r="C302">
        <v>17</v>
      </c>
      <c r="D302">
        <v>8503.83744435072</v>
      </c>
    </row>
    <row r="303" spans="1:4" x14ac:dyDescent="0.25">
      <c r="A303" t="s">
        <v>80</v>
      </c>
      <c r="B303">
        <v>3</v>
      </c>
      <c r="C303">
        <v>3</v>
      </c>
      <c r="D303">
        <v>8019.1380477511502</v>
      </c>
    </row>
    <row r="304" spans="1:4" x14ac:dyDescent="0.25">
      <c r="A304" t="s">
        <v>81</v>
      </c>
      <c r="B304">
        <v>2</v>
      </c>
      <c r="C304">
        <v>13</v>
      </c>
      <c r="D304">
        <v>255.244647046973</v>
      </c>
    </row>
    <row r="305" spans="1:4" x14ac:dyDescent="0.25">
      <c r="A305" t="s">
        <v>61</v>
      </c>
      <c r="B305">
        <v>4</v>
      </c>
      <c r="C305">
        <v>18</v>
      </c>
      <c r="D305">
        <v>12055.3667005276</v>
      </c>
    </row>
    <row r="306" spans="1:4" x14ac:dyDescent="0.25">
      <c r="A306" t="s">
        <v>80</v>
      </c>
      <c r="B306">
        <v>3</v>
      </c>
      <c r="C306">
        <v>4</v>
      </c>
      <c r="D306">
        <v>6423.41156202401</v>
      </c>
    </row>
    <row r="307" spans="1:4" x14ac:dyDescent="0.25">
      <c r="A307" t="s">
        <v>81</v>
      </c>
      <c r="B307">
        <v>2</v>
      </c>
      <c r="C307">
        <v>14</v>
      </c>
      <c r="D307">
        <v>0</v>
      </c>
    </row>
    <row r="308" spans="1:4" x14ac:dyDescent="0.25">
      <c r="A308" t="s">
        <v>61</v>
      </c>
      <c r="B308">
        <v>4</v>
      </c>
      <c r="C308">
        <v>19</v>
      </c>
      <c r="D308">
        <v>4114.1727765530204</v>
      </c>
    </row>
    <row r="309" spans="1:4" x14ac:dyDescent="0.25">
      <c r="A309" t="s">
        <v>80</v>
      </c>
      <c r="B309">
        <v>3</v>
      </c>
      <c r="C309">
        <v>5</v>
      </c>
      <c r="D309">
        <v>6355.1247577525801</v>
      </c>
    </row>
    <row r="310" spans="1:4" x14ac:dyDescent="0.25">
      <c r="A310" t="s">
        <v>81</v>
      </c>
      <c r="B310">
        <v>2</v>
      </c>
      <c r="C310">
        <v>15</v>
      </c>
      <c r="D310">
        <v>0</v>
      </c>
    </row>
    <row r="311" spans="1:4" x14ac:dyDescent="0.25">
      <c r="A311" t="s">
        <v>61</v>
      </c>
      <c r="B311">
        <v>4</v>
      </c>
      <c r="C311">
        <v>20</v>
      </c>
      <c r="D311">
        <v>6005.1215599950701</v>
      </c>
    </row>
    <row r="312" spans="1:4" x14ac:dyDescent="0.25">
      <c r="A312" t="s">
        <v>80</v>
      </c>
      <c r="B312">
        <v>3</v>
      </c>
      <c r="C312">
        <v>6</v>
      </c>
      <c r="D312">
        <v>5040.6867498627298</v>
      </c>
    </row>
    <row r="313" spans="1:4" x14ac:dyDescent="0.25">
      <c r="A313" t="s">
        <v>81</v>
      </c>
      <c r="B313">
        <v>2</v>
      </c>
      <c r="C313">
        <v>16</v>
      </c>
      <c r="D313">
        <v>0</v>
      </c>
    </row>
    <row r="314" spans="1:4" x14ac:dyDescent="0.25">
      <c r="A314" t="s">
        <v>61</v>
      </c>
      <c r="B314">
        <v>4</v>
      </c>
      <c r="C314">
        <v>21</v>
      </c>
      <c r="D314">
        <v>2654.5990711301201</v>
      </c>
    </row>
    <row r="315" spans="1:4" x14ac:dyDescent="0.25">
      <c r="A315" t="s">
        <v>80</v>
      </c>
      <c r="B315">
        <v>3</v>
      </c>
      <c r="C315">
        <v>7</v>
      </c>
      <c r="D315">
        <v>13690.3527674823</v>
      </c>
    </row>
    <row r="316" spans="1:4" x14ac:dyDescent="0.25">
      <c r="A316" t="s">
        <v>81</v>
      </c>
      <c r="B316">
        <v>2</v>
      </c>
      <c r="C316">
        <v>17</v>
      </c>
      <c r="D316">
        <v>0</v>
      </c>
    </row>
    <row r="317" spans="1:4" x14ac:dyDescent="0.25">
      <c r="A317" t="s">
        <v>61</v>
      </c>
      <c r="B317">
        <v>4</v>
      </c>
      <c r="C317">
        <v>22</v>
      </c>
      <c r="D317">
        <v>6152.2543205191996</v>
      </c>
    </row>
    <row r="318" spans="1:4" x14ac:dyDescent="0.25">
      <c r="A318" t="s">
        <v>80</v>
      </c>
      <c r="B318">
        <v>3</v>
      </c>
      <c r="C318">
        <v>8</v>
      </c>
      <c r="D318">
        <v>9354.0098013706902</v>
      </c>
    </row>
    <row r="319" spans="1:4" x14ac:dyDescent="0.25">
      <c r="A319" t="s">
        <v>81</v>
      </c>
      <c r="B319">
        <v>2</v>
      </c>
      <c r="C319">
        <v>18</v>
      </c>
      <c r="D319">
        <v>0</v>
      </c>
    </row>
    <row r="320" spans="1:4" x14ac:dyDescent="0.25">
      <c r="A320" t="s">
        <v>61</v>
      </c>
      <c r="B320">
        <v>4</v>
      </c>
      <c r="C320">
        <v>23</v>
      </c>
      <c r="D320">
        <v>3700.0208230120502</v>
      </c>
    </row>
    <row r="321" spans="1:4" x14ac:dyDescent="0.25">
      <c r="A321" t="s">
        <v>80</v>
      </c>
      <c r="B321">
        <v>3</v>
      </c>
      <c r="C321">
        <v>9</v>
      </c>
      <c r="D321">
        <v>12640.958161398299</v>
      </c>
    </row>
    <row r="322" spans="1:4" x14ac:dyDescent="0.25">
      <c r="A322" t="s">
        <v>81</v>
      </c>
      <c r="B322">
        <v>2</v>
      </c>
      <c r="C322">
        <v>19</v>
      </c>
      <c r="D322">
        <v>0</v>
      </c>
    </row>
    <row r="323" spans="1:4" x14ac:dyDescent="0.25">
      <c r="A323" t="s">
        <v>61</v>
      </c>
      <c r="B323">
        <v>4</v>
      </c>
      <c r="C323">
        <v>24</v>
      </c>
      <c r="D323">
        <v>3698.2292603660799</v>
      </c>
    </row>
    <row r="324" spans="1:4" x14ac:dyDescent="0.25">
      <c r="A324" t="s">
        <v>80</v>
      </c>
      <c r="B324">
        <v>3</v>
      </c>
      <c r="C324">
        <v>10</v>
      </c>
      <c r="D324">
        <v>18377.607219003701</v>
      </c>
    </row>
    <row r="325" spans="1:4" x14ac:dyDescent="0.25">
      <c r="A325" t="s">
        <v>81</v>
      </c>
      <c r="B325">
        <v>2</v>
      </c>
      <c r="C325">
        <v>20</v>
      </c>
      <c r="D325">
        <v>823.22199859056104</v>
      </c>
    </row>
    <row r="326" spans="1:4" x14ac:dyDescent="0.25">
      <c r="A326" t="s">
        <v>61</v>
      </c>
      <c r="B326">
        <v>4</v>
      </c>
      <c r="C326">
        <v>25</v>
      </c>
      <c r="D326">
        <v>4540.1391480857301</v>
      </c>
    </row>
    <row r="327" spans="1:4" x14ac:dyDescent="0.25">
      <c r="A327" t="s">
        <v>80</v>
      </c>
      <c r="B327">
        <v>3</v>
      </c>
      <c r="C327">
        <v>11</v>
      </c>
      <c r="D327">
        <v>9177.7735743447993</v>
      </c>
    </row>
    <row r="328" spans="1:4" x14ac:dyDescent="0.25">
      <c r="A328" t="s">
        <v>81</v>
      </c>
      <c r="B328">
        <v>2</v>
      </c>
      <c r="C328">
        <v>21</v>
      </c>
      <c r="D328">
        <v>273.31008254034998</v>
      </c>
    </row>
    <row r="329" spans="1:4" x14ac:dyDescent="0.25">
      <c r="A329" t="s">
        <v>61</v>
      </c>
      <c r="B329">
        <v>4</v>
      </c>
      <c r="C329">
        <v>26</v>
      </c>
      <c r="D329">
        <v>3093.71460919837</v>
      </c>
    </row>
    <row r="330" spans="1:4" x14ac:dyDescent="0.25">
      <c r="A330" t="s">
        <v>80</v>
      </c>
      <c r="B330">
        <v>3</v>
      </c>
      <c r="C330">
        <v>12</v>
      </c>
      <c r="D330">
        <v>11901.1755967796</v>
      </c>
    </row>
    <row r="331" spans="1:4" x14ac:dyDescent="0.25">
      <c r="A331" t="s">
        <v>81</v>
      </c>
      <c r="B331">
        <v>2</v>
      </c>
      <c r="C331">
        <v>22</v>
      </c>
      <c r="D331">
        <v>268.28891618071901</v>
      </c>
    </row>
    <row r="332" spans="1:4" x14ac:dyDescent="0.25">
      <c r="A332" t="s">
        <v>61</v>
      </c>
      <c r="B332">
        <v>4</v>
      </c>
      <c r="C332">
        <v>27</v>
      </c>
      <c r="D332">
        <v>2647.0532213707102</v>
      </c>
    </row>
    <row r="333" spans="1:4" x14ac:dyDescent="0.25">
      <c r="A333" t="s">
        <v>80</v>
      </c>
      <c r="B333">
        <v>3</v>
      </c>
      <c r="C333">
        <v>13</v>
      </c>
      <c r="D333">
        <v>15046.2849167238</v>
      </c>
    </row>
    <row r="334" spans="1:4" x14ac:dyDescent="0.25">
      <c r="A334" t="s">
        <v>79</v>
      </c>
      <c r="B334">
        <v>5</v>
      </c>
      <c r="C334">
        <v>21</v>
      </c>
      <c r="D334">
        <v>7527.1372455875598</v>
      </c>
    </row>
    <row r="335" spans="1:4" x14ac:dyDescent="0.25">
      <c r="A335" t="s">
        <v>81</v>
      </c>
      <c r="B335">
        <v>2</v>
      </c>
      <c r="C335">
        <v>23</v>
      </c>
      <c r="D335">
        <v>263.21843329701801</v>
      </c>
    </row>
    <row r="336" spans="1:4" x14ac:dyDescent="0.25">
      <c r="A336" t="s">
        <v>61</v>
      </c>
      <c r="B336">
        <v>4</v>
      </c>
      <c r="C336">
        <v>28</v>
      </c>
      <c r="D336">
        <v>3769.0235026984101</v>
      </c>
    </row>
    <row r="337" spans="1:4" x14ac:dyDescent="0.25">
      <c r="A337" t="s">
        <v>80</v>
      </c>
      <c r="B337">
        <v>3</v>
      </c>
      <c r="C337">
        <v>14</v>
      </c>
      <c r="D337">
        <v>8617.5903516036797</v>
      </c>
    </row>
    <row r="338" spans="1:4" x14ac:dyDescent="0.25">
      <c r="A338" t="s">
        <v>79</v>
      </c>
      <c r="B338">
        <v>5</v>
      </c>
      <c r="C338">
        <v>22</v>
      </c>
      <c r="D338">
        <v>1465.33922093864</v>
      </c>
    </row>
    <row r="339" spans="1:4" x14ac:dyDescent="0.25">
      <c r="A339" t="s">
        <v>81</v>
      </c>
      <c r="B339">
        <v>2</v>
      </c>
      <c r="C339">
        <v>24</v>
      </c>
      <c r="D339">
        <v>257.86793134514602</v>
      </c>
    </row>
    <row r="340" spans="1:4" x14ac:dyDescent="0.25">
      <c r="A340" t="s">
        <v>61</v>
      </c>
      <c r="B340">
        <v>4</v>
      </c>
      <c r="C340">
        <v>29</v>
      </c>
      <c r="D340">
        <v>3644.4685141457699</v>
      </c>
    </row>
    <row r="341" spans="1:4" x14ac:dyDescent="0.25">
      <c r="A341" t="s">
        <v>80</v>
      </c>
      <c r="B341">
        <v>3</v>
      </c>
      <c r="C341">
        <v>15</v>
      </c>
      <c r="D341">
        <v>5042.7199326591699</v>
      </c>
    </row>
    <row r="342" spans="1:4" x14ac:dyDescent="0.25">
      <c r="A342" t="s">
        <v>79</v>
      </c>
      <c r="B342">
        <v>5</v>
      </c>
      <c r="C342">
        <v>23</v>
      </c>
      <c r="D342">
        <v>1422.0687195534999</v>
      </c>
    </row>
    <row r="343" spans="1:4" x14ac:dyDescent="0.25">
      <c r="A343" t="s">
        <v>81</v>
      </c>
      <c r="B343">
        <v>2</v>
      </c>
      <c r="C343">
        <v>25</v>
      </c>
      <c r="D343">
        <v>254.72384823939001</v>
      </c>
    </row>
    <row r="344" spans="1:4" x14ac:dyDescent="0.25">
      <c r="A344" t="s">
        <v>61</v>
      </c>
      <c r="B344">
        <v>4</v>
      </c>
      <c r="C344">
        <v>30</v>
      </c>
      <c r="D344">
        <v>4705.7821936057298</v>
      </c>
    </row>
    <row r="345" spans="1:4" x14ac:dyDescent="0.25">
      <c r="A345" t="s">
        <v>80</v>
      </c>
      <c r="B345">
        <v>3</v>
      </c>
      <c r="C345">
        <v>16</v>
      </c>
      <c r="D345">
        <v>8259.2331519639592</v>
      </c>
    </row>
    <row r="346" spans="1:4" x14ac:dyDescent="0.25">
      <c r="A346" t="s">
        <v>79</v>
      </c>
      <c r="B346">
        <v>5</v>
      </c>
      <c r="C346">
        <v>24</v>
      </c>
      <c r="D346">
        <v>1275.05424154189</v>
      </c>
    </row>
    <row r="347" spans="1:4" x14ac:dyDescent="0.25">
      <c r="A347" t="s">
        <v>81</v>
      </c>
      <c r="B347">
        <v>2</v>
      </c>
      <c r="C347">
        <v>26</v>
      </c>
      <c r="D347">
        <v>229.989095291171</v>
      </c>
    </row>
    <row r="348" spans="1:4" x14ac:dyDescent="0.25">
      <c r="A348" t="s">
        <v>80</v>
      </c>
      <c r="B348">
        <v>3</v>
      </c>
      <c r="C348">
        <v>17</v>
      </c>
      <c r="D348">
        <v>13136.1975257131</v>
      </c>
    </row>
    <row r="349" spans="1:4" x14ac:dyDescent="0.25">
      <c r="A349" t="s">
        <v>79</v>
      </c>
      <c r="B349">
        <v>5</v>
      </c>
      <c r="C349">
        <v>25</v>
      </c>
      <c r="D349">
        <v>1220.57090413841</v>
      </c>
    </row>
    <row r="350" spans="1:4" x14ac:dyDescent="0.25">
      <c r="A350" t="s">
        <v>81</v>
      </c>
      <c r="B350">
        <v>2</v>
      </c>
      <c r="C350">
        <v>27</v>
      </c>
      <c r="D350">
        <v>1356.1298547144399</v>
      </c>
    </row>
    <row r="351" spans="1:4" x14ac:dyDescent="0.25">
      <c r="A351" t="s">
        <v>61</v>
      </c>
      <c r="B351">
        <v>5</v>
      </c>
      <c r="C351">
        <v>1</v>
      </c>
      <c r="D351">
        <v>2152.9523515144101</v>
      </c>
    </row>
    <row r="352" spans="1:4" x14ac:dyDescent="0.25">
      <c r="A352" t="s">
        <v>80</v>
      </c>
      <c r="B352">
        <v>3</v>
      </c>
      <c r="C352">
        <v>18</v>
      </c>
      <c r="D352">
        <v>14761.8433640278</v>
      </c>
    </row>
    <row r="353" spans="1:4" x14ac:dyDescent="0.25">
      <c r="A353" t="s">
        <v>79</v>
      </c>
      <c r="B353">
        <v>5</v>
      </c>
      <c r="C353">
        <v>26</v>
      </c>
      <c r="D353">
        <v>3464.4132636895802</v>
      </c>
    </row>
    <row r="354" spans="1:4" x14ac:dyDescent="0.25">
      <c r="A354" t="s">
        <v>81</v>
      </c>
      <c r="B354">
        <v>2</v>
      </c>
      <c r="C354">
        <v>28</v>
      </c>
      <c r="D354">
        <v>415.32725730138998</v>
      </c>
    </row>
    <row r="355" spans="1:4" x14ac:dyDescent="0.25">
      <c r="A355" t="s">
        <v>61</v>
      </c>
      <c r="B355">
        <v>5</v>
      </c>
      <c r="C355">
        <v>2</v>
      </c>
      <c r="D355">
        <v>2802.7226104031602</v>
      </c>
    </row>
    <row r="356" spans="1:4" x14ac:dyDescent="0.25">
      <c r="A356" t="s">
        <v>80</v>
      </c>
      <c r="B356">
        <v>3</v>
      </c>
      <c r="C356">
        <v>19</v>
      </c>
      <c r="D356">
        <v>8444.7052863855606</v>
      </c>
    </row>
    <row r="357" spans="1:4" x14ac:dyDescent="0.25">
      <c r="A357" t="s">
        <v>79</v>
      </c>
      <c r="B357">
        <v>5</v>
      </c>
      <c r="C357">
        <v>27</v>
      </c>
      <c r="D357">
        <v>3457.98014638323</v>
      </c>
    </row>
    <row r="358" spans="1:4" x14ac:dyDescent="0.25">
      <c r="A358" t="s">
        <v>61</v>
      </c>
      <c r="B358">
        <v>5</v>
      </c>
      <c r="C358">
        <v>3</v>
      </c>
      <c r="D358">
        <v>2187.8822427375399</v>
      </c>
    </row>
    <row r="359" spans="1:4" x14ac:dyDescent="0.25">
      <c r="A359" t="s">
        <v>80</v>
      </c>
      <c r="B359">
        <v>3</v>
      </c>
      <c r="C359">
        <v>20</v>
      </c>
      <c r="D359">
        <v>13690.513610763801</v>
      </c>
    </row>
    <row r="360" spans="1:4" x14ac:dyDescent="0.25">
      <c r="A360" t="s">
        <v>79</v>
      </c>
      <c r="B360">
        <v>5</v>
      </c>
      <c r="C360">
        <v>28</v>
      </c>
      <c r="D360">
        <v>3562.4338024236199</v>
      </c>
    </row>
    <row r="361" spans="1:4" x14ac:dyDescent="0.25">
      <c r="A361" t="s">
        <v>61</v>
      </c>
      <c r="B361">
        <v>5</v>
      </c>
      <c r="C361">
        <v>4</v>
      </c>
      <c r="D361">
        <v>973.44284168838601</v>
      </c>
    </row>
    <row r="362" spans="1:4" x14ac:dyDescent="0.25">
      <c r="A362" t="s">
        <v>80</v>
      </c>
      <c r="B362">
        <v>3</v>
      </c>
      <c r="C362">
        <v>21</v>
      </c>
      <c r="D362">
        <v>7593.7853831025304</v>
      </c>
    </row>
    <row r="363" spans="1:4" x14ac:dyDescent="0.25">
      <c r="A363" t="s">
        <v>79</v>
      </c>
      <c r="B363">
        <v>5</v>
      </c>
      <c r="C363">
        <v>29</v>
      </c>
      <c r="D363">
        <v>6523.46979610576</v>
      </c>
    </row>
    <row r="364" spans="1:4" x14ac:dyDescent="0.25">
      <c r="A364" t="s">
        <v>61</v>
      </c>
      <c r="B364">
        <v>5</v>
      </c>
      <c r="C364">
        <v>5</v>
      </c>
      <c r="D364">
        <v>6026.43900027976</v>
      </c>
    </row>
    <row r="365" spans="1:4" x14ac:dyDescent="0.25">
      <c r="A365" t="s">
        <v>80</v>
      </c>
      <c r="B365">
        <v>3</v>
      </c>
      <c r="C365">
        <v>22</v>
      </c>
      <c r="D365">
        <v>12201.5787199772</v>
      </c>
    </row>
    <row r="366" spans="1:4" x14ac:dyDescent="0.25">
      <c r="A366" t="s">
        <v>79</v>
      </c>
      <c r="B366">
        <v>5</v>
      </c>
      <c r="C366">
        <v>30</v>
      </c>
      <c r="D366">
        <v>1436.5401930043599</v>
      </c>
    </row>
    <row r="367" spans="1:4" x14ac:dyDescent="0.25">
      <c r="A367" t="s">
        <v>81</v>
      </c>
      <c r="B367">
        <v>3</v>
      </c>
      <c r="C367">
        <v>1</v>
      </c>
      <c r="D367">
        <v>416.64322829897901</v>
      </c>
    </row>
    <row r="368" spans="1:4" x14ac:dyDescent="0.25">
      <c r="A368" t="s">
        <v>61</v>
      </c>
      <c r="B368">
        <v>5</v>
      </c>
      <c r="C368">
        <v>6</v>
      </c>
      <c r="D368">
        <v>480.92766644931697</v>
      </c>
    </row>
    <row r="369" spans="1:4" x14ac:dyDescent="0.25">
      <c r="A369" t="s">
        <v>80</v>
      </c>
      <c r="B369">
        <v>3</v>
      </c>
      <c r="C369">
        <v>23</v>
      </c>
      <c r="D369">
        <v>13281.157650527701</v>
      </c>
    </row>
    <row r="370" spans="1:4" x14ac:dyDescent="0.25">
      <c r="A370" t="s">
        <v>79</v>
      </c>
      <c r="B370">
        <v>5</v>
      </c>
      <c r="C370">
        <v>31</v>
      </c>
      <c r="D370">
        <v>6907.8398537851099</v>
      </c>
    </row>
    <row r="371" spans="1:4" x14ac:dyDescent="0.25">
      <c r="A371" t="s">
        <v>81</v>
      </c>
      <c r="B371">
        <v>3</v>
      </c>
      <c r="C371">
        <v>2</v>
      </c>
      <c r="D371">
        <v>413.36760297069799</v>
      </c>
    </row>
    <row r="372" spans="1:4" x14ac:dyDescent="0.25">
      <c r="A372" t="s">
        <v>61</v>
      </c>
      <c r="B372">
        <v>5</v>
      </c>
      <c r="C372">
        <v>7</v>
      </c>
      <c r="D372">
        <v>515.23041766108395</v>
      </c>
    </row>
    <row r="373" spans="1:4" x14ac:dyDescent="0.25">
      <c r="A373" t="s">
        <v>80</v>
      </c>
      <c r="B373">
        <v>3</v>
      </c>
      <c r="C373">
        <v>24</v>
      </c>
      <c r="D373">
        <v>12688.1053190932</v>
      </c>
    </row>
    <row r="374" spans="1:4" x14ac:dyDescent="0.25">
      <c r="A374" t="s">
        <v>81</v>
      </c>
      <c r="B374">
        <v>3</v>
      </c>
      <c r="C374">
        <v>3</v>
      </c>
      <c r="D374">
        <v>411.81878081091298</v>
      </c>
    </row>
    <row r="375" spans="1:4" x14ac:dyDescent="0.25">
      <c r="A375" t="s">
        <v>82</v>
      </c>
      <c r="B375">
        <v>1</v>
      </c>
      <c r="C375">
        <v>1</v>
      </c>
      <c r="D375">
        <v>803.34516536188505</v>
      </c>
    </row>
    <row r="376" spans="1:4" x14ac:dyDescent="0.25">
      <c r="A376" t="s">
        <v>61</v>
      </c>
      <c r="B376">
        <v>5</v>
      </c>
      <c r="C376">
        <v>8</v>
      </c>
      <c r="D376">
        <v>7228.3811394198901</v>
      </c>
    </row>
    <row r="377" spans="1:4" x14ac:dyDescent="0.25">
      <c r="A377" t="s">
        <v>80</v>
      </c>
      <c r="B377">
        <v>3</v>
      </c>
      <c r="C377">
        <v>25</v>
      </c>
      <c r="D377">
        <v>16733.975098182</v>
      </c>
    </row>
    <row r="378" spans="1:4" x14ac:dyDescent="0.25">
      <c r="A378" t="s">
        <v>81</v>
      </c>
      <c r="B378">
        <v>3</v>
      </c>
      <c r="C378">
        <v>4</v>
      </c>
      <c r="D378">
        <v>409.76726784805697</v>
      </c>
    </row>
    <row r="379" spans="1:4" x14ac:dyDescent="0.25">
      <c r="A379" t="s">
        <v>82</v>
      </c>
      <c r="B379">
        <v>1</v>
      </c>
      <c r="C379">
        <v>2</v>
      </c>
      <c r="D379">
        <v>671.97977247858705</v>
      </c>
    </row>
    <row r="380" spans="1:4" x14ac:dyDescent="0.25">
      <c r="A380" t="s">
        <v>61</v>
      </c>
      <c r="B380">
        <v>5</v>
      </c>
      <c r="C380">
        <v>9</v>
      </c>
      <c r="D380">
        <v>1335.7115570159001</v>
      </c>
    </row>
    <row r="381" spans="1:4" x14ac:dyDescent="0.25">
      <c r="A381" t="s">
        <v>80</v>
      </c>
      <c r="B381">
        <v>3</v>
      </c>
      <c r="C381">
        <v>26</v>
      </c>
      <c r="D381">
        <v>13365.937850402801</v>
      </c>
    </row>
    <row r="382" spans="1:4" x14ac:dyDescent="0.25">
      <c r="A382" t="s">
        <v>81</v>
      </c>
      <c r="B382">
        <v>3</v>
      </c>
      <c r="C382">
        <v>5</v>
      </c>
      <c r="D382">
        <v>409.77986984083998</v>
      </c>
    </row>
    <row r="383" spans="1:4" x14ac:dyDescent="0.25">
      <c r="A383" t="s">
        <v>82</v>
      </c>
      <c r="B383">
        <v>1</v>
      </c>
      <c r="C383">
        <v>3</v>
      </c>
      <c r="D383">
        <v>680.209413521746</v>
      </c>
    </row>
    <row r="384" spans="1:4" x14ac:dyDescent="0.25">
      <c r="A384" t="s">
        <v>61</v>
      </c>
      <c r="B384">
        <v>5</v>
      </c>
      <c r="C384">
        <v>10</v>
      </c>
      <c r="D384">
        <v>2496.9537118897601</v>
      </c>
    </row>
    <row r="385" spans="1:4" x14ac:dyDescent="0.25">
      <c r="A385" t="s">
        <v>80</v>
      </c>
      <c r="B385">
        <v>3</v>
      </c>
      <c r="C385">
        <v>27</v>
      </c>
      <c r="D385">
        <v>15631.1060506545</v>
      </c>
    </row>
    <row r="386" spans="1:4" x14ac:dyDescent="0.25">
      <c r="A386" t="s">
        <v>81</v>
      </c>
      <c r="B386">
        <v>3</v>
      </c>
      <c r="C386">
        <v>6</v>
      </c>
      <c r="D386">
        <v>234.73310886595601</v>
      </c>
    </row>
    <row r="387" spans="1:4" x14ac:dyDescent="0.25">
      <c r="A387" t="s">
        <v>82</v>
      </c>
      <c r="B387">
        <v>1</v>
      </c>
      <c r="C387">
        <v>4</v>
      </c>
      <c r="D387">
        <v>669.14958733490801</v>
      </c>
    </row>
    <row r="388" spans="1:4" x14ac:dyDescent="0.25">
      <c r="A388" t="s">
        <v>61</v>
      </c>
      <c r="B388">
        <v>5</v>
      </c>
      <c r="C388">
        <v>11</v>
      </c>
      <c r="D388">
        <v>3048.7100812304202</v>
      </c>
    </row>
    <row r="389" spans="1:4" x14ac:dyDescent="0.25">
      <c r="A389" t="s">
        <v>80</v>
      </c>
      <c r="B389">
        <v>3</v>
      </c>
      <c r="C389">
        <v>28</v>
      </c>
      <c r="D389">
        <v>8387.6390634307809</v>
      </c>
    </row>
    <row r="390" spans="1:4" x14ac:dyDescent="0.25">
      <c r="A390" t="s">
        <v>81</v>
      </c>
      <c r="B390">
        <v>3</v>
      </c>
      <c r="C390">
        <v>7</v>
      </c>
      <c r="D390">
        <v>239.90940699591499</v>
      </c>
    </row>
    <row r="391" spans="1:4" x14ac:dyDescent="0.25">
      <c r="A391" t="s">
        <v>82</v>
      </c>
      <c r="B391">
        <v>1</v>
      </c>
      <c r="C391">
        <v>5</v>
      </c>
      <c r="D391">
        <v>666.77295452440399</v>
      </c>
    </row>
    <row r="392" spans="1:4" x14ac:dyDescent="0.25">
      <c r="A392" t="s">
        <v>61</v>
      </c>
      <c r="B392">
        <v>5</v>
      </c>
      <c r="C392">
        <v>12</v>
      </c>
      <c r="D392">
        <v>697.58515020264394</v>
      </c>
    </row>
    <row r="393" spans="1:4" x14ac:dyDescent="0.25">
      <c r="A393" t="s">
        <v>80</v>
      </c>
      <c r="B393">
        <v>3</v>
      </c>
      <c r="C393">
        <v>29</v>
      </c>
      <c r="D393">
        <v>2118.26710622992</v>
      </c>
    </row>
    <row r="394" spans="1:4" x14ac:dyDescent="0.25">
      <c r="A394" t="s">
        <v>81</v>
      </c>
      <c r="B394">
        <v>3</v>
      </c>
      <c r="C394">
        <v>8</v>
      </c>
      <c r="D394">
        <v>239.55527022830299</v>
      </c>
    </row>
    <row r="395" spans="1:4" x14ac:dyDescent="0.25">
      <c r="A395" t="s">
        <v>82</v>
      </c>
      <c r="B395">
        <v>1</v>
      </c>
      <c r="C395">
        <v>6</v>
      </c>
      <c r="D395">
        <v>2303.7048103393099</v>
      </c>
    </row>
    <row r="396" spans="1:4" x14ac:dyDescent="0.25">
      <c r="A396" t="s">
        <v>61</v>
      </c>
      <c r="B396">
        <v>5</v>
      </c>
      <c r="C396">
        <v>13</v>
      </c>
      <c r="D396">
        <v>1577.56233324769</v>
      </c>
    </row>
    <row r="397" spans="1:4" x14ac:dyDescent="0.25">
      <c r="A397" t="s">
        <v>80</v>
      </c>
      <c r="B397">
        <v>3</v>
      </c>
      <c r="C397">
        <v>30</v>
      </c>
      <c r="D397">
        <v>15239.299823073599</v>
      </c>
    </row>
    <row r="398" spans="1:4" x14ac:dyDescent="0.25">
      <c r="A398" t="s">
        <v>81</v>
      </c>
      <c r="B398">
        <v>3</v>
      </c>
      <c r="C398">
        <v>9</v>
      </c>
      <c r="D398">
        <v>244.509049963758</v>
      </c>
    </row>
    <row r="399" spans="1:4" x14ac:dyDescent="0.25">
      <c r="A399" t="s">
        <v>82</v>
      </c>
      <c r="B399">
        <v>1</v>
      </c>
      <c r="C399">
        <v>7</v>
      </c>
      <c r="D399">
        <v>749.85993167506194</v>
      </c>
    </row>
    <row r="400" spans="1:4" x14ac:dyDescent="0.25">
      <c r="A400" t="s">
        <v>61</v>
      </c>
      <c r="B400">
        <v>5</v>
      </c>
      <c r="C400">
        <v>14</v>
      </c>
      <c r="D400">
        <v>2490.1665196660801</v>
      </c>
    </row>
    <row r="401" spans="1:4" x14ac:dyDescent="0.25">
      <c r="A401" t="s">
        <v>80</v>
      </c>
      <c r="B401">
        <v>3</v>
      </c>
      <c r="C401">
        <v>31</v>
      </c>
      <c r="D401">
        <v>6743.5138453255004</v>
      </c>
    </row>
    <row r="402" spans="1:4" x14ac:dyDescent="0.25">
      <c r="A402" t="s">
        <v>81</v>
      </c>
      <c r="B402">
        <v>3</v>
      </c>
      <c r="C402">
        <v>10</v>
      </c>
      <c r="D402">
        <v>248.92432612550201</v>
      </c>
    </row>
    <row r="403" spans="1:4" x14ac:dyDescent="0.25">
      <c r="A403" t="s">
        <v>82</v>
      </c>
      <c r="B403">
        <v>1</v>
      </c>
      <c r="C403">
        <v>8</v>
      </c>
      <c r="D403">
        <v>744.27648277571495</v>
      </c>
    </row>
    <row r="404" spans="1:4" x14ac:dyDescent="0.25">
      <c r="A404" t="s">
        <v>61</v>
      </c>
      <c r="B404">
        <v>5</v>
      </c>
      <c r="C404">
        <v>15</v>
      </c>
      <c r="D404">
        <v>3006.6507424236802</v>
      </c>
    </row>
    <row r="405" spans="1:4" x14ac:dyDescent="0.25">
      <c r="A405" t="s">
        <v>80</v>
      </c>
      <c r="B405">
        <v>4</v>
      </c>
      <c r="C405">
        <v>1</v>
      </c>
      <c r="D405">
        <v>14377.248843514401</v>
      </c>
    </row>
    <row r="406" spans="1:4" x14ac:dyDescent="0.25">
      <c r="A406" t="s">
        <v>81</v>
      </c>
      <c r="B406">
        <v>3</v>
      </c>
      <c r="C406">
        <v>11</v>
      </c>
      <c r="D406">
        <v>248.42511701371299</v>
      </c>
    </row>
    <row r="407" spans="1:4" x14ac:dyDescent="0.25">
      <c r="A407" t="s">
        <v>82</v>
      </c>
      <c r="B407">
        <v>1</v>
      </c>
      <c r="C407">
        <v>9</v>
      </c>
      <c r="D407">
        <v>753.24721411725602</v>
      </c>
    </row>
    <row r="408" spans="1:4" x14ac:dyDescent="0.25">
      <c r="A408" t="s">
        <v>61</v>
      </c>
      <c r="B408">
        <v>5</v>
      </c>
      <c r="C408">
        <v>16</v>
      </c>
      <c r="D408">
        <v>4550.3618660663697</v>
      </c>
    </row>
    <row r="409" spans="1:4" x14ac:dyDescent="0.25">
      <c r="A409" t="s">
        <v>80</v>
      </c>
      <c r="B409">
        <v>4</v>
      </c>
      <c r="C409">
        <v>2</v>
      </c>
      <c r="D409">
        <v>6416.8300536052402</v>
      </c>
    </row>
    <row r="410" spans="1:4" x14ac:dyDescent="0.25">
      <c r="A410" t="s">
        <v>81</v>
      </c>
      <c r="B410">
        <v>3</v>
      </c>
      <c r="C410">
        <v>12</v>
      </c>
      <c r="D410">
        <v>248.38681352786401</v>
      </c>
    </row>
    <row r="411" spans="1:4" x14ac:dyDescent="0.25">
      <c r="A411" t="s">
        <v>82</v>
      </c>
      <c r="B411">
        <v>1</v>
      </c>
      <c r="C411">
        <v>10</v>
      </c>
      <c r="D411">
        <v>633.55258880289398</v>
      </c>
    </row>
    <row r="412" spans="1:4" x14ac:dyDescent="0.25">
      <c r="A412" t="s">
        <v>61</v>
      </c>
      <c r="B412">
        <v>5</v>
      </c>
      <c r="C412">
        <v>17</v>
      </c>
      <c r="D412">
        <v>3985.4548805255699</v>
      </c>
    </row>
    <row r="413" spans="1:4" x14ac:dyDescent="0.25">
      <c r="A413" t="s">
        <v>80</v>
      </c>
      <c r="B413">
        <v>4</v>
      </c>
      <c r="C413">
        <v>3</v>
      </c>
      <c r="D413">
        <v>2139.6211717026599</v>
      </c>
    </row>
    <row r="414" spans="1:4" x14ac:dyDescent="0.25">
      <c r="A414" t="s">
        <v>82</v>
      </c>
      <c r="B414">
        <v>1</v>
      </c>
      <c r="C414">
        <v>11</v>
      </c>
      <c r="D414">
        <v>491.98978101187902</v>
      </c>
    </row>
    <row r="415" spans="1:4" x14ac:dyDescent="0.25">
      <c r="A415" t="s">
        <v>61</v>
      </c>
      <c r="B415">
        <v>5</v>
      </c>
      <c r="C415">
        <v>18</v>
      </c>
      <c r="D415">
        <v>3461.7712514436798</v>
      </c>
    </row>
    <row r="416" spans="1:4" x14ac:dyDescent="0.25">
      <c r="A416" t="s">
        <v>80</v>
      </c>
      <c r="B416">
        <v>4</v>
      </c>
      <c r="C416">
        <v>4</v>
      </c>
      <c r="D416">
        <v>10898.3255421471</v>
      </c>
    </row>
    <row r="417" spans="1:4" x14ac:dyDescent="0.25">
      <c r="A417" t="s">
        <v>82</v>
      </c>
      <c r="B417">
        <v>1</v>
      </c>
      <c r="C417">
        <v>12</v>
      </c>
      <c r="D417">
        <v>239.456744779818</v>
      </c>
    </row>
    <row r="418" spans="1:4" x14ac:dyDescent="0.25">
      <c r="A418" t="s">
        <v>61</v>
      </c>
      <c r="B418">
        <v>5</v>
      </c>
      <c r="C418">
        <v>19</v>
      </c>
      <c r="D418">
        <v>812.16631988974905</v>
      </c>
    </row>
    <row r="419" spans="1:4" x14ac:dyDescent="0.25">
      <c r="A419" t="s">
        <v>80</v>
      </c>
      <c r="B419">
        <v>4</v>
      </c>
      <c r="C419">
        <v>5</v>
      </c>
      <c r="D419">
        <v>10731.9771913443</v>
      </c>
    </row>
    <row r="420" spans="1:4" x14ac:dyDescent="0.25">
      <c r="A420" t="s">
        <v>82</v>
      </c>
      <c r="B420">
        <v>1</v>
      </c>
      <c r="C420">
        <v>13</v>
      </c>
      <c r="D420">
        <v>239.460041595776</v>
      </c>
    </row>
    <row r="421" spans="1:4" x14ac:dyDescent="0.25">
      <c r="A421" t="s">
        <v>61</v>
      </c>
      <c r="B421">
        <v>5</v>
      </c>
      <c r="C421">
        <v>20</v>
      </c>
      <c r="D421">
        <v>3514.9821649462901</v>
      </c>
    </row>
    <row r="422" spans="1:4" x14ac:dyDescent="0.25">
      <c r="A422" t="s">
        <v>80</v>
      </c>
      <c r="B422">
        <v>4</v>
      </c>
      <c r="C422">
        <v>6</v>
      </c>
      <c r="D422">
        <v>15721.288357945001</v>
      </c>
    </row>
    <row r="423" spans="1:4" x14ac:dyDescent="0.25">
      <c r="A423" t="s">
        <v>82</v>
      </c>
      <c r="B423">
        <v>1</v>
      </c>
      <c r="C423">
        <v>14</v>
      </c>
      <c r="D423">
        <v>212.737958802571</v>
      </c>
    </row>
    <row r="424" spans="1:4" x14ac:dyDescent="0.25">
      <c r="A424" t="s">
        <v>61</v>
      </c>
      <c r="B424">
        <v>5</v>
      </c>
      <c r="C424">
        <v>21</v>
      </c>
      <c r="D424">
        <v>5551.9989810711704</v>
      </c>
    </row>
    <row r="425" spans="1:4" x14ac:dyDescent="0.25">
      <c r="A425" t="s">
        <v>80</v>
      </c>
      <c r="B425">
        <v>4</v>
      </c>
      <c r="C425">
        <v>7</v>
      </c>
      <c r="D425">
        <v>20842.008176788499</v>
      </c>
    </row>
    <row r="426" spans="1:4" x14ac:dyDescent="0.25">
      <c r="A426" t="s">
        <v>82</v>
      </c>
      <c r="B426">
        <v>1</v>
      </c>
      <c r="C426">
        <v>15</v>
      </c>
      <c r="D426">
        <v>636.772146036241</v>
      </c>
    </row>
    <row r="427" spans="1:4" x14ac:dyDescent="0.25">
      <c r="A427" t="s">
        <v>61</v>
      </c>
      <c r="B427">
        <v>5</v>
      </c>
      <c r="C427">
        <v>22</v>
      </c>
      <c r="D427">
        <v>1683.2008979059799</v>
      </c>
    </row>
    <row r="428" spans="1:4" x14ac:dyDescent="0.25">
      <c r="A428" t="s">
        <v>80</v>
      </c>
      <c r="B428">
        <v>4</v>
      </c>
      <c r="C428">
        <v>8</v>
      </c>
      <c r="D428">
        <v>15400.143098640399</v>
      </c>
    </row>
    <row r="429" spans="1:4" x14ac:dyDescent="0.25">
      <c r="A429" t="s">
        <v>81</v>
      </c>
      <c r="B429">
        <v>3</v>
      </c>
      <c r="C429">
        <v>18</v>
      </c>
      <c r="D429">
        <v>916.38477010725899</v>
      </c>
    </row>
    <row r="430" spans="1:4" x14ac:dyDescent="0.25">
      <c r="A430" t="s">
        <v>82</v>
      </c>
      <c r="B430">
        <v>1</v>
      </c>
      <c r="C430">
        <v>16</v>
      </c>
      <c r="D430">
        <v>614.82048359892497</v>
      </c>
    </row>
    <row r="431" spans="1:4" x14ac:dyDescent="0.25">
      <c r="A431" t="s">
        <v>61</v>
      </c>
      <c r="B431">
        <v>5</v>
      </c>
      <c r="C431">
        <v>23</v>
      </c>
      <c r="D431">
        <v>4560.9250778911901</v>
      </c>
    </row>
    <row r="432" spans="1:4" x14ac:dyDescent="0.25">
      <c r="A432" t="s">
        <v>80</v>
      </c>
      <c r="B432">
        <v>4</v>
      </c>
      <c r="C432">
        <v>9</v>
      </c>
      <c r="D432">
        <v>11071.511185097401</v>
      </c>
    </row>
    <row r="433" spans="1:4" x14ac:dyDescent="0.25">
      <c r="A433" t="s">
        <v>81</v>
      </c>
      <c r="B433">
        <v>3</v>
      </c>
      <c r="C433">
        <v>19</v>
      </c>
      <c r="D433">
        <v>309.54002786378101</v>
      </c>
    </row>
    <row r="434" spans="1:4" x14ac:dyDescent="0.25">
      <c r="A434" t="s">
        <v>82</v>
      </c>
      <c r="B434">
        <v>1</v>
      </c>
      <c r="C434">
        <v>17</v>
      </c>
      <c r="D434">
        <v>515.51420926723404</v>
      </c>
    </row>
    <row r="435" spans="1:4" x14ac:dyDescent="0.25">
      <c r="A435" t="s">
        <v>61</v>
      </c>
      <c r="B435">
        <v>5</v>
      </c>
      <c r="C435">
        <v>24</v>
      </c>
      <c r="D435">
        <v>4733.8047816468297</v>
      </c>
    </row>
    <row r="436" spans="1:4" x14ac:dyDescent="0.25">
      <c r="A436" t="s">
        <v>80</v>
      </c>
      <c r="B436">
        <v>4</v>
      </c>
      <c r="C436">
        <v>10</v>
      </c>
      <c r="D436">
        <v>6645.0108098361998</v>
      </c>
    </row>
    <row r="437" spans="1:4" x14ac:dyDescent="0.25">
      <c r="A437" t="s">
        <v>82</v>
      </c>
      <c r="B437">
        <v>1</v>
      </c>
      <c r="C437">
        <v>18</v>
      </c>
      <c r="D437">
        <v>197.13595373205899</v>
      </c>
    </row>
    <row r="438" spans="1:4" x14ac:dyDescent="0.25">
      <c r="A438" t="s">
        <v>61</v>
      </c>
      <c r="B438">
        <v>5</v>
      </c>
      <c r="C438">
        <v>25</v>
      </c>
      <c r="D438">
        <v>1766.73813996595</v>
      </c>
    </row>
    <row r="439" spans="1:4" x14ac:dyDescent="0.25">
      <c r="A439" t="s">
        <v>80</v>
      </c>
      <c r="B439">
        <v>4</v>
      </c>
      <c r="C439">
        <v>11</v>
      </c>
      <c r="D439">
        <v>13361.648385463601</v>
      </c>
    </row>
    <row r="440" spans="1:4" x14ac:dyDescent="0.25">
      <c r="A440" t="s">
        <v>82</v>
      </c>
      <c r="B440">
        <v>1</v>
      </c>
      <c r="C440">
        <v>19</v>
      </c>
      <c r="D440">
        <v>198.40580912580199</v>
      </c>
    </row>
    <row r="441" spans="1:4" x14ac:dyDescent="0.25">
      <c r="A441" t="s">
        <v>61</v>
      </c>
      <c r="B441">
        <v>5</v>
      </c>
      <c r="C441">
        <v>26</v>
      </c>
      <c r="D441">
        <v>5557.7207025074504</v>
      </c>
    </row>
    <row r="442" spans="1:4" x14ac:dyDescent="0.25">
      <c r="A442" t="s">
        <v>80</v>
      </c>
      <c r="B442">
        <v>4</v>
      </c>
      <c r="C442">
        <v>12</v>
      </c>
      <c r="D442">
        <v>6736.9267046569003</v>
      </c>
    </row>
    <row r="443" spans="1:4" x14ac:dyDescent="0.25">
      <c r="A443" t="s">
        <v>81</v>
      </c>
      <c r="B443">
        <v>3</v>
      </c>
      <c r="C443">
        <v>22</v>
      </c>
      <c r="D443">
        <v>338.47999925742499</v>
      </c>
    </row>
    <row r="444" spans="1:4" x14ac:dyDescent="0.25">
      <c r="A444" t="s">
        <v>61</v>
      </c>
      <c r="B444">
        <v>5</v>
      </c>
      <c r="C444">
        <v>27</v>
      </c>
      <c r="D444">
        <v>6503.147691229</v>
      </c>
    </row>
    <row r="445" spans="1:4" x14ac:dyDescent="0.25">
      <c r="A445" t="s">
        <v>80</v>
      </c>
      <c r="B445">
        <v>4</v>
      </c>
      <c r="C445">
        <v>13</v>
      </c>
      <c r="D445">
        <v>2258.6225994582901</v>
      </c>
    </row>
    <row r="446" spans="1:4" x14ac:dyDescent="0.25">
      <c r="A446" t="s">
        <v>81</v>
      </c>
      <c r="B446">
        <v>3</v>
      </c>
      <c r="C446">
        <v>23</v>
      </c>
      <c r="D446">
        <v>2664.0330343196401</v>
      </c>
    </row>
    <row r="447" spans="1:4" x14ac:dyDescent="0.25">
      <c r="A447" t="s">
        <v>61</v>
      </c>
      <c r="B447">
        <v>5</v>
      </c>
      <c r="C447">
        <v>28</v>
      </c>
      <c r="D447">
        <v>3431.2837812804501</v>
      </c>
    </row>
    <row r="448" spans="1:4" x14ac:dyDescent="0.25">
      <c r="A448" t="s">
        <v>80</v>
      </c>
      <c r="B448">
        <v>4</v>
      </c>
      <c r="C448">
        <v>14</v>
      </c>
      <c r="D448">
        <v>6801.9230998129096</v>
      </c>
    </row>
    <row r="449" spans="1:4" x14ac:dyDescent="0.25">
      <c r="A449" t="s">
        <v>81</v>
      </c>
      <c r="B449">
        <v>3</v>
      </c>
      <c r="C449">
        <v>24</v>
      </c>
      <c r="D449">
        <v>759.60822031216298</v>
      </c>
    </row>
    <row r="450" spans="1:4" x14ac:dyDescent="0.25">
      <c r="A450" t="s">
        <v>61</v>
      </c>
      <c r="B450">
        <v>5</v>
      </c>
      <c r="C450">
        <v>29</v>
      </c>
      <c r="D450">
        <v>7091.7651869819401</v>
      </c>
    </row>
    <row r="451" spans="1:4" x14ac:dyDescent="0.25">
      <c r="A451" t="s">
        <v>80</v>
      </c>
      <c r="B451">
        <v>4</v>
      </c>
      <c r="C451">
        <v>15</v>
      </c>
      <c r="D451">
        <v>6710.6269618920796</v>
      </c>
    </row>
    <row r="452" spans="1:4" x14ac:dyDescent="0.25">
      <c r="A452" t="s">
        <v>81</v>
      </c>
      <c r="B452">
        <v>3</v>
      </c>
      <c r="C452">
        <v>25</v>
      </c>
      <c r="D452">
        <v>2728.7626875679898</v>
      </c>
    </row>
    <row r="453" spans="1:4" x14ac:dyDescent="0.25">
      <c r="A453" t="s">
        <v>61</v>
      </c>
      <c r="B453">
        <v>5</v>
      </c>
      <c r="C453">
        <v>30</v>
      </c>
      <c r="D453">
        <v>5726.6739531467201</v>
      </c>
    </row>
    <row r="454" spans="1:4" x14ac:dyDescent="0.25">
      <c r="A454" t="s">
        <v>80</v>
      </c>
      <c r="B454">
        <v>4</v>
      </c>
      <c r="C454">
        <v>16</v>
      </c>
      <c r="D454">
        <v>6841.4734858178899</v>
      </c>
    </row>
    <row r="455" spans="1:4" x14ac:dyDescent="0.25">
      <c r="A455" t="s">
        <v>81</v>
      </c>
      <c r="B455">
        <v>3</v>
      </c>
      <c r="C455">
        <v>26</v>
      </c>
      <c r="D455">
        <v>3269.6010114363198</v>
      </c>
    </row>
    <row r="456" spans="1:4" x14ac:dyDescent="0.25">
      <c r="A456" t="s">
        <v>61</v>
      </c>
      <c r="B456">
        <v>5</v>
      </c>
      <c r="C456">
        <v>31</v>
      </c>
      <c r="D456">
        <v>3899.7528288584799</v>
      </c>
    </row>
    <row r="457" spans="1:4" x14ac:dyDescent="0.25">
      <c r="A457" t="s">
        <v>80</v>
      </c>
      <c r="B457">
        <v>4</v>
      </c>
      <c r="C457">
        <v>17</v>
      </c>
      <c r="D457">
        <v>11426.693393059701</v>
      </c>
    </row>
    <row r="458" spans="1:4" x14ac:dyDescent="0.25">
      <c r="A458" t="s">
        <v>81</v>
      </c>
      <c r="B458">
        <v>3</v>
      </c>
      <c r="C458">
        <v>27</v>
      </c>
      <c r="D458">
        <v>1105.4600804885499</v>
      </c>
    </row>
    <row r="459" spans="1:4" x14ac:dyDescent="0.25">
      <c r="A459" t="s">
        <v>80</v>
      </c>
      <c r="B459">
        <v>4</v>
      </c>
      <c r="C459">
        <v>18</v>
      </c>
      <c r="D459">
        <v>11613.625452619</v>
      </c>
    </row>
    <row r="460" spans="1:4" x14ac:dyDescent="0.25">
      <c r="A460" t="s">
        <v>81</v>
      </c>
      <c r="B460">
        <v>3</v>
      </c>
      <c r="C460">
        <v>28</v>
      </c>
      <c r="D460">
        <v>1099.91058597759</v>
      </c>
    </row>
    <row r="461" spans="1:4" x14ac:dyDescent="0.25">
      <c r="A461" t="s">
        <v>80</v>
      </c>
      <c r="B461">
        <v>4</v>
      </c>
      <c r="C461">
        <v>19</v>
      </c>
      <c r="D461">
        <v>9174.0311289457204</v>
      </c>
    </row>
    <row r="462" spans="1:4" x14ac:dyDescent="0.25">
      <c r="A462" t="s">
        <v>81</v>
      </c>
      <c r="B462">
        <v>3</v>
      </c>
      <c r="C462">
        <v>29</v>
      </c>
      <c r="D462">
        <v>1082.5962878968201</v>
      </c>
    </row>
    <row r="463" spans="1:4" x14ac:dyDescent="0.25">
      <c r="A463" t="s">
        <v>80</v>
      </c>
      <c r="B463">
        <v>4</v>
      </c>
      <c r="C463">
        <v>20</v>
      </c>
      <c r="D463">
        <v>10029.151629142299</v>
      </c>
    </row>
    <row r="464" spans="1:4" x14ac:dyDescent="0.25">
      <c r="A464" t="s">
        <v>81</v>
      </c>
      <c r="B464">
        <v>3</v>
      </c>
      <c r="C464">
        <v>30</v>
      </c>
      <c r="D464">
        <v>1091.4273927593199</v>
      </c>
    </row>
    <row r="465" spans="1:4" x14ac:dyDescent="0.25">
      <c r="A465" t="s">
        <v>80</v>
      </c>
      <c r="B465">
        <v>4</v>
      </c>
      <c r="C465">
        <v>21</v>
      </c>
      <c r="D465">
        <v>4378.8286102439997</v>
      </c>
    </row>
    <row r="466" spans="1:4" x14ac:dyDescent="0.25">
      <c r="A466" t="s">
        <v>81</v>
      </c>
      <c r="B466">
        <v>3</v>
      </c>
      <c r="C466">
        <v>31</v>
      </c>
      <c r="D466">
        <v>1085.2806282116301</v>
      </c>
    </row>
    <row r="467" spans="1:4" x14ac:dyDescent="0.25">
      <c r="A467" t="s">
        <v>82</v>
      </c>
      <c r="B467">
        <v>1</v>
      </c>
      <c r="C467">
        <v>29</v>
      </c>
      <c r="D467">
        <v>604.22164035210903</v>
      </c>
    </row>
    <row r="468" spans="1:4" x14ac:dyDescent="0.25">
      <c r="A468" t="s">
        <v>80</v>
      </c>
      <c r="B468">
        <v>4</v>
      </c>
      <c r="C468">
        <v>22</v>
      </c>
      <c r="D468">
        <v>14350.970581093499</v>
      </c>
    </row>
    <row r="469" spans="1:4" x14ac:dyDescent="0.25">
      <c r="A469" t="s">
        <v>81</v>
      </c>
      <c r="B469">
        <v>4</v>
      </c>
      <c r="C469">
        <v>1</v>
      </c>
      <c r="D469">
        <v>898.53268705853202</v>
      </c>
    </row>
    <row r="470" spans="1:4" x14ac:dyDescent="0.25">
      <c r="A470" t="s">
        <v>82</v>
      </c>
      <c r="B470">
        <v>1</v>
      </c>
      <c r="C470">
        <v>30</v>
      </c>
      <c r="D470">
        <v>204.16920839924799</v>
      </c>
    </row>
    <row r="471" spans="1:4" x14ac:dyDescent="0.25">
      <c r="A471" t="s">
        <v>80</v>
      </c>
      <c r="B471">
        <v>4</v>
      </c>
      <c r="C471">
        <v>23</v>
      </c>
      <c r="D471">
        <v>11867.861008330099</v>
      </c>
    </row>
    <row r="472" spans="1:4" x14ac:dyDescent="0.25">
      <c r="A472" t="s">
        <v>81</v>
      </c>
      <c r="B472">
        <v>4</v>
      </c>
      <c r="C472">
        <v>2</v>
      </c>
      <c r="D472">
        <v>902.22993578178</v>
      </c>
    </row>
    <row r="473" spans="1:4" x14ac:dyDescent="0.25">
      <c r="A473" t="s">
        <v>82</v>
      </c>
      <c r="B473">
        <v>1</v>
      </c>
      <c r="C473">
        <v>31</v>
      </c>
      <c r="D473">
        <v>1223.50664783569</v>
      </c>
    </row>
    <row r="474" spans="1:4" x14ac:dyDescent="0.25">
      <c r="A474" t="s">
        <v>80</v>
      </c>
      <c r="B474">
        <v>4</v>
      </c>
      <c r="C474">
        <v>24</v>
      </c>
      <c r="D474">
        <v>12019.630857398501</v>
      </c>
    </row>
    <row r="475" spans="1:4" x14ac:dyDescent="0.25">
      <c r="A475" t="s">
        <v>81</v>
      </c>
      <c r="B475">
        <v>4</v>
      </c>
      <c r="C475">
        <v>3</v>
      </c>
      <c r="D475">
        <v>907.63110998903096</v>
      </c>
    </row>
    <row r="476" spans="1:4" x14ac:dyDescent="0.25">
      <c r="A476" t="s">
        <v>82</v>
      </c>
      <c r="B476">
        <v>2</v>
      </c>
      <c r="C476">
        <v>1</v>
      </c>
      <c r="D476">
        <v>401.24724726568598</v>
      </c>
    </row>
    <row r="477" spans="1:4" x14ac:dyDescent="0.25">
      <c r="A477" t="s">
        <v>80</v>
      </c>
      <c r="B477">
        <v>4</v>
      </c>
      <c r="C477">
        <v>25</v>
      </c>
      <c r="D477">
        <v>3569.6621107978099</v>
      </c>
    </row>
    <row r="478" spans="1:4" x14ac:dyDescent="0.25">
      <c r="A478" t="s">
        <v>81</v>
      </c>
      <c r="B478">
        <v>4</v>
      </c>
      <c r="C478">
        <v>4</v>
      </c>
      <c r="D478">
        <v>894.27454267856797</v>
      </c>
    </row>
    <row r="479" spans="1:4" x14ac:dyDescent="0.25">
      <c r="A479" t="s">
        <v>82</v>
      </c>
      <c r="B479">
        <v>2</v>
      </c>
      <c r="C479">
        <v>2</v>
      </c>
      <c r="D479">
        <v>408.172655735555</v>
      </c>
    </row>
    <row r="480" spans="1:4" x14ac:dyDescent="0.25">
      <c r="A480" t="s">
        <v>80</v>
      </c>
      <c r="B480">
        <v>4</v>
      </c>
      <c r="C480">
        <v>26</v>
      </c>
      <c r="D480">
        <v>11172.543904866399</v>
      </c>
    </row>
    <row r="481" spans="1:4" x14ac:dyDescent="0.25">
      <c r="A481" t="s">
        <v>81</v>
      </c>
      <c r="B481">
        <v>4</v>
      </c>
      <c r="C481">
        <v>5</v>
      </c>
      <c r="D481">
        <v>878.23322701618702</v>
      </c>
    </row>
    <row r="482" spans="1:4" x14ac:dyDescent="0.25">
      <c r="A482" t="s">
        <v>82</v>
      </c>
      <c r="B482">
        <v>2</v>
      </c>
      <c r="C482">
        <v>3</v>
      </c>
      <c r="D482">
        <v>392.99686511207898</v>
      </c>
    </row>
    <row r="483" spans="1:4" x14ac:dyDescent="0.25">
      <c r="A483" t="s">
        <v>80</v>
      </c>
      <c r="B483">
        <v>4</v>
      </c>
      <c r="C483">
        <v>27</v>
      </c>
      <c r="D483">
        <v>7431.1559180434797</v>
      </c>
    </row>
    <row r="484" spans="1:4" x14ac:dyDescent="0.25">
      <c r="A484" t="s">
        <v>81</v>
      </c>
      <c r="B484">
        <v>4</v>
      </c>
      <c r="C484">
        <v>6</v>
      </c>
      <c r="D484">
        <v>3783.7283787923602</v>
      </c>
    </row>
    <row r="485" spans="1:4" x14ac:dyDescent="0.25">
      <c r="A485" t="s">
        <v>82</v>
      </c>
      <c r="B485">
        <v>2</v>
      </c>
      <c r="C485">
        <v>4</v>
      </c>
      <c r="D485">
        <v>392.95428724571502</v>
      </c>
    </row>
    <row r="486" spans="1:4" x14ac:dyDescent="0.25">
      <c r="A486" t="s">
        <v>80</v>
      </c>
      <c r="B486">
        <v>4</v>
      </c>
      <c r="C486">
        <v>28</v>
      </c>
      <c r="D486">
        <v>9679.5130539752208</v>
      </c>
    </row>
    <row r="487" spans="1:4" x14ac:dyDescent="0.25">
      <c r="A487" t="s">
        <v>81</v>
      </c>
      <c r="B487">
        <v>4</v>
      </c>
      <c r="C487">
        <v>7</v>
      </c>
      <c r="D487">
        <v>4837.9748678597098</v>
      </c>
    </row>
    <row r="488" spans="1:4" x14ac:dyDescent="0.25">
      <c r="A488" t="s">
        <v>82</v>
      </c>
      <c r="B488">
        <v>2</v>
      </c>
      <c r="C488">
        <v>5</v>
      </c>
      <c r="D488">
        <v>395.31921396152597</v>
      </c>
    </row>
    <row r="489" spans="1:4" x14ac:dyDescent="0.25">
      <c r="A489" t="s">
        <v>80</v>
      </c>
      <c r="B489">
        <v>4</v>
      </c>
      <c r="C489">
        <v>29</v>
      </c>
      <c r="D489">
        <v>11808.8819741397</v>
      </c>
    </row>
    <row r="490" spans="1:4" x14ac:dyDescent="0.25">
      <c r="A490" t="s">
        <v>81</v>
      </c>
      <c r="B490">
        <v>4</v>
      </c>
      <c r="C490">
        <v>8</v>
      </c>
      <c r="D490">
        <v>1044.6800051717901</v>
      </c>
    </row>
    <row r="491" spans="1:4" x14ac:dyDescent="0.25">
      <c r="A491" t="s">
        <v>82</v>
      </c>
      <c r="B491">
        <v>2</v>
      </c>
      <c r="C491">
        <v>6</v>
      </c>
      <c r="D491">
        <v>406.877838398976</v>
      </c>
    </row>
    <row r="492" spans="1:4" x14ac:dyDescent="0.25">
      <c r="A492" t="s">
        <v>80</v>
      </c>
      <c r="B492">
        <v>4</v>
      </c>
      <c r="C492">
        <v>30</v>
      </c>
      <c r="D492">
        <v>7317.7152955928505</v>
      </c>
    </row>
    <row r="493" spans="1:4" x14ac:dyDescent="0.25">
      <c r="A493" t="s">
        <v>81</v>
      </c>
      <c r="B493">
        <v>4</v>
      </c>
      <c r="C493">
        <v>9</v>
      </c>
      <c r="D493">
        <v>863.66565345695994</v>
      </c>
    </row>
    <row r="494" spans="1:4" x14ac:dyDescent="0.25">
      <c r="A494" t="s">
        <v>82</v>
      </c>
      <c r="B494">
        <v>2</v>
      </c>
      <c r="C494">
        <v>7</v>
      </c>
      <c r="D494">
        <v>414.43855863700799</v>
      </c>
    </row>
    <row r="495" spans="1:4" x14ac:dyDescent="0.25">
      <c r="A495" t="s">
        <v>81</v>
      </c>
      <c r="B495">
        <v>4</v>
      </c>
      <c r="C495">
        <v>10</v>
      </c>
      <c r="D495">
        <v>813.21348437848599</v>
      </c>
    </row>
    <row r="496" spans="1:4" x14ac:dyDescent="0.25">
      <c r="A496" t="s">
        <v>82</v>
      </c>
      <c r="B496">
        <v>2</v>
      </c>
      <c r="C496">
        <v>8</v>
      </c>
      <c r="D496">
        <v>415.906712336716</v>
      </c>
    </row>
    <row r="497" spans="1:4" x14ac:dyDescent="0.25">
      <c r="A497" t="s">
        <v>80</v>
      </c>
      <c r="B497">
        <v>5</v>
      </c>
      <c r="C497">
        <v>1</v>
      </c>
      <c r="D497">
        <v>7051.3728936706102</v>
      </c>
    </row>
    <row r="498" spans="1:4" x14ac:dyDescent="0.25">
      <c r="A498" t="s">
        <v>81</v>
      </c>
      <c r="B498">
        <v>4</v>
      </c>
      <c r="C498">
        <v>11</v>
      </c>
      <c r="D498">
        <v>805.92920385135096</v>
      </c>
    </row>
    <row r="499" spans="1:4" x14ac:dyDescent="0.25">
      <c r="A499" t="s">
        <v>82</v>
      </c>
      <c r="B499">
        <v>2</v>
      </c>
      <c r="C499">
        <v>9</v>
      </c>
      <c r="D499">
        <v>414.76286435806998</v>
      </c>
    </row>
    <row r="500" spans="1:4" x14ac:dyDescent="0.25">
      <c r="A500" t="s">
        <v>80</v>
      </c>
      <c r="B500">
        <v>5</v>
      </c>
      <c r="C500">
        <v>2</v>
      </c>
      <c r="D500">
        <v>7116.1377027216004</v>
      </c>
    </row>
    <row r="501" spans="1:4" x14ac:dyDescent="0.25">
      <c r="A501" t="s">
        <v>81</v>
      </c>
      <c r="B501">
        <v>4</v>
      </c>
      <c r="C501">
        <v>12</v>
      </c>
      <c r="D501">
        <v>833.08858330469798</v>
      </c>
    </row>
    <row r="502" spans="1:4" x14ac:dyDescent="0.25">
      <c r="A502" t="s">
        <v>82</v>
      </c>
      <c r="B502">
        <v>2</v>
      </c>
      <c r="C502">
        <v>10</v>
      </c>
      <c r="D502">
        <v>410.56775388381101</v>
      </c>
    </row>
    <row r="503" spans="1:4" x14ac:dyDescent="0.25">
      <c r="A503" t="s">
        <v>80</v>
      </c>
      <c r="B503">
        <v>5</v>
      </c>
      <c r="C503">
        <v>3</v>
      </c>
      <c r="D503">
        <v>1130.76617522627</v>
      </c>
    </row>
    <row r="504" spans="1:4" x14ac:dyDescent="0.25">
      <c r="A504" t="s">
        <v>81</v>
      </c>
      <c r="B504">
        <v>4</v>
      </c>
      <c r="C504">
        <v>13</v>
      </c>
      <c r="D504">
        <v>831.08578102502599</v>
      </c>
    </row>
    <row r="505" spans="1:4" x14ac:dyDescent="0.25">
      <c r="A505" t="s">
        <v>82</v>
      </c>
      <c r="B505">
        <v>2</v>
      </c>
      <c r="C505">
        <v>11</v>
      </c>
      <c r="D505">
        <v>407.07816501197402</v>
      </c>
    </row>
    <row r="506" spans="1:4" x14ac:dyDescent="0.25">
      <c r="A506" t="s">
        <v>81</v>
      </c>
      <c r="B506">
        <v>4</v>
      </c>
      <c r="C506">
        <v>14</v>
      </c>
      <c r="D506">
        <v>825.94559056000298</v>
      </c>
    </row>
    <row r="507" spans="1:4" x14ac:dyDescent="0.25">
      <c r="A507" t="s">
        <v>82</v>
      </c>
      <c r="B507">
        <v>2</v>
      </c>
      <c r="C507">
        <v>12</v>
      </c>
      <c r="D507">
        <v>245.31151151585101</v>
      </c>
    </row>
    <row r="508" spans="1:4" x14ac:dyDescent="0.25">
      <c r="A508" t="s">
        <v>81</v>
      </c>
      <c r="B508">
        <v>4</v>
      </c>
      <c r="C508">
        <v>15</v>
      </c>
      <c r="D508">
        <v>789.11973180783104</v>
      </c>
    </row>
    <row r="509" spans="1:4" x14ac:dyDescent="0.25">
      <c r="A509" t="s">
        <v>82</v>
      </c>
      <c r="B509">
        <v>2</v>
      </c>
      <c r="C509">
        <v>13</v>
      </c>
      <c r="D509">
        <v>255.244647046973</v>
      </c>
    </row>
    <row r="510" spans="1:4" x14ac:dyDescent="0.25">
      <c r="A510" t="s">
        <v>81</v>
      </c>
      <c r="B510">
        <v>4</v>
      </c>
      <c r="C510">
        <v>16</v>
      </c>
      <c r="D510">
        <v>786.95650053687302</v>
      </c>
    </row>
    <row r="511" spans="1:4" x14ac:dyDescent="0.25">
      <c r="A511" t="s">
        <v>82</v>
      </c>
      <c r="B511">
        <v>2</v>
      </c>
      <c r="C511">
        <v>14</v>
      </c>
      <c r="D511">
        <v>0</v>
      </c>
    </row>
    <row r="512" spans="1:4" x14ac:dyDescent="0.25">
      <c r="A512" t="s">
        <v>81</v>
      </c>
      <c r="B512">
        <v>4</v>
      </c>
      <c r="C512">
        <v>17</v>
      </c>
      <c r="D512">
        <v>738.09821423260496</v>
      </c>
    </row>
    <row r="513" spans="1:4" x14ac:dyDescent="0.25">
      <c r="A513" t="s">
        <v>82</v>
      </c>
      <c r="B513">
        <v>2</v>
      </c>
      <c r="C513">
        <v>15</v>
      </c>
      <c r="D513">
        <v>0</v>
      </c>
    </row>
    <row r="514" spans="1:4" x14ac:dyDescent="0.25">
      <c r="A514" t="s">
        <v>81</v>
      </c>
      <c r="B514">
        <v>4</v>
      </c>
      <c r="C514">
        <v>18</v>
      </c>
      <c r="D514">
        <v>732.94226313688102</v>
      </c>
    </row>
    <row r="515" spans="1:4" x14ac:dyDescent="0.25">
      <c r="A515" t="s">
        <v>82</v>
      </c>
      <c r="B515">
        <v>2</v>
      </c>
      <c r="C515">
        <v>16</v>
      </c>
      <c r="D515">
        <v>0</v>
      </c>
    </row>
    <row r="516" spans="1:4" x14ac:dyDescent="0.25">
      <c r="A516" t="s">
        <v>81</v>
      </c>
      <c r="B516">
        <v>4</v>
      </c>
      <c r="C516">
        <v>19</v>
      </c>
      <c r="D516">
        <v>721.05399240683596</v>
      </c>
    </row>
    <row r="517" spans="1:4" x14ac:dyDescent="0.25">
      <c r="A517" t="s">
        <v>82</v>
      </c>
      <c r="B517">
        <v>2</v>
      </c>
      <c r="C517">
        <v>17</v>
      </c>
      <c r="D517">
        <v>0</v>
      </c>
    </row>
    <row r="518" spans="1:4" x14ac:dyDescent="0.25">
      <c r="A518" t="s">
        <v>81</v>
      </c>
      <c r="B518">
        <v>4</v>
      </c>
      <c r="C518">
        <v>20</v>
      </c>
      <c r="D518">
        <v>406.12605895025598</v>
      </c>
    </row>
    <row r="519" spans="1:4" x14ac:dyDescent="0.25">
      <c r="A519" t="s">
        <v>82</v>
      </c>
      <c r="B519">
        <v>2</v>
      </c>
      <c r="C519">
        <v>18</v>
      </c>
      <c r="D519">
        <v>0</v>
      </c>
    </row>
    <row r="520" spans="1:4" x14ac:dyDescent="0.25">
      <c r="A520" t="s">
        <v>82</v>
      </c>
      <c r="B520">
        <v>2</v>
      </c>
      <c r="C520">
        <v>19</v>
      </c>
      <c r="D520">
        <v>0</v>
      </c>
    </row>
    <row r="521" spans="1:4" x14ac:dyDescent="0.25">
      <c r="A521" t="s">
        <v>82</v>
      </c>
      <c r="B521">
        <v>2</v>
      </c>
      <c r="C521">
        <v>20</v>
      </c>
      <c r="D521">
        <v>823.22199859056104</v>
      </c>
    </row>
    <row r="522" spans="1:4" x14ac:dyDescent="0.25">
      <c r="A522" t="s">
        <v>82</v>
      </c>
      <c r="B522">
        <v>2</v>
      </c>
      <c r="C522">
        <v>21</v>
      </c>
      <c r="D522">
        <v>273.31008254034998</v>
      </c>
    </row>
    <row r="523" spans="1:4" x14ac:dyDescent="0.25">
      <c r="A523" t="s">
        <v>82</v>
      </c>
      <c r="B523">
        <v>2</v>
      </c>
      <c r="C523">
        <v>22</v>
      </c>
      <c r="D523">
        <v>268.28891618071901</v>
      </c>
    </row>
    <row r="524" spans="1:4" x14ac:dyDescent="0.25">
      <c r="A524" t="s">
        <v>82</v>
      </c>
      <c r="B524">
        <v>2</v>
      </c>
      <c r="C524">
        <v>23</v>
      </c>
      <c r="D524">
        <v>263.21843329701801</v>
      </c>
    </row>
    <row r="525" spans="1:4" x14ac:dyDescent="0.25">
      <c r="A525" t="s">
        <v>82</v>
      </c>
      <c r="B525">
        <v>2</v>
      </c>
      <c r="C525">
        <v>24</v>
      </c>
      <c r="D525">
        <v>257.86793134514602</v>
      </c>
    </row>
    <row r="526" spans="1:4" x14ac:dyDescent="0.25">
      <c r="A526" t="s">
        <v>82</v>
      </c>
      <c r="B526">
        <v>2</v>
      </c>
      <c r="C526">
        <v>25</v>
      </c>
      <c r="D526">
        <v>254.72384823939001</v>
      </c>
    </row>
    <row r="527" spans="1:4" x14ac:dyDescent="0.25">
      <c r="A527" t="s">
        <v>82</v>
      </c>
      <c r="B527">
        <v>2</v>
      </c>
      <c r="C527">
        <v>26</v>
      </c>
      <c r="D527">
        <v>229.989095291171</v>
      </c>
    </row>
    <row r="528" spans="1:4" x14ac:dyDescent="0.25">
      <c r="A528" t="s">
        <v>82</v>
      </c>
      <c r="B528">
        <v>2</v>
      </c>
      <c r="C528">
        <v>27</v>
      </c>
      <c r="D528">
        <v>1356.1298547144399</v>
      </c>
    </row>
    <row r="529" spans="1:4" x14ac:dyDescent="0.25">
      <c r="A529" t="s">
        <v>82</v>
      </c>
      <c r="B529">
        <v>2</v>
      </c>
      <c r="C529">
        <v>28</v>
      </c>
      <c r="D529">
        <v>415.32725730138998</v>
      </c>
    </row>
    <row r="530" spans="1:4" x14ac:dyDescent="0.25">
      <c r="A530" t="s">
        <v>80</v>
      </c>
      <c r="B530">
        <v>5</v>
      </c>
      <c r="C530">
        <v>21</v>
      </c>
      <c r="D530">
        <v>7527.1372455875598</v>
      </c>
    </row>
    <row r="531" spans="1:4" x14ac:dyDescent="0.25">
      <c r="A531" t="s">
        <v>80</v>
      </c>
      <c r="B531">
        <v>5</v>
      </c>
      <c r="C531">
        <v>22</v>
      </c>
      <c r="D531">
        <v>1465.33922093864</v>
      </c>
    </row>
    <row r="532" spans="1:4" x14ac:dyDescent="0.25">
      <c r="A532" t="s">
        <v>80</v>
      </c>
      <c r="B532">
        <v>5</v>
      </c>
      <c r="C532">
        <v>23</v>
      </c>
      <c r="D532">
        <v>1422.0687195534999</v>
      </c>
    </row>
    <row r="533" spans="1:4" x14ac:dyDescent="0.25">
      <c r="A533" t="s">
        <v>80</v>
      </c>
      <c r="B533">
        <v>5</v>
      </c>
      <c r="C533">
        <v>24</v>
      </c>
      <c r="D533">
        <v>1275.05424154189</v>
      </c>
    </row>
    <row r="534" spans="1:4" x14ac:dyDescent="0.25">
      <c r="A534" t="s">
        <v>82</v>
      </c>
      <c r="B534">
        <v>3</v>
      </c>
      <c r="C534">
        <v>1</v>
      </c>
      <c r="D534">
        <v>416.64322829897901</v>
      </c>
    </row>
    <row r="535" spans="1:4" x14ac:dyDescent="0.25">
      <c r="A535" t="s">
        <v>80</v>
      </c>
      <c r="B535">
        <v>5</v>
      </c>
      <c r="C535">
        <v>25</v>
      </c>
      <c r="D535">
        <v>1220.57090413841</v>
      </c>
    </row>
    <row r="536" spans="1:4" x14ac:dyDescent="0.25">
      <c r="A536" t="s">
        <v>82</v>
      </c>
      <c r="B536">
        <v>3</v>
      </c>
      <c r="C536">
        <v>2</v>
      </c>
      <c r="D536">
        <v>413.36760297069799</v>
      </c>
    </row>
    <row r="537" spans="1:4" x14ac:dyDescent="0.25">
      <c r="A537" t="s">
        <v>80</v>
      </c>
      <c r="B537">
        <v>5</v>
      </c>
      <c r="C537">
        <v>26</v>
      </c>
      <c r="D537">
        <v>3464.4132636895802</v>
      </c>
    </row>
    <row r="538" spans="1:4" x14ac:dyDescent="0.25">
      <c r="A538" t="s">
        <v>82</v>
      </c>
      <c r="B538">
        <v>3</v>
      </c>
      <c r="C538">
        <v>3</v>
      </c>
      <c r="D538">
        <v>411.81878081091298</v>
      </c>
    </row>
    <row r="539" spans="1:4" x14ac:dyDescent="0.25">
      <c r="A539" t="s">
        <v>80</v>
      </c>
      <c r="B539">
        <v>5</v>
      </c>
      <c r="C539">
        <v>27</v>
      </c>
      <c r="D539">
        <v>3457.98014638323</v>
      </c>
    </row>
    <row r="540" spans="1:4" x14ac:dyDescent="0.25">
      <c r="A540" t="s">
        <v>82</v>
      </c>
      <c r="B540">
        <v>3</v>
      </c>
      <c r="C540">
        <v>4</v>
      </c>
      <c r="D540">
        <v>409.76726784805697</v>
      </c>
    </row>
    <row r="541" spans="1:4" x14ac:dyDescent="0.25">
      <c r="A541" t="s">
        <v>80</v>
      </c>
      <c r="B541">
        <v>5</v>
      </c>
      <c r="C541">
        <v>28</v>
      </c>
      <c r="D541">
        <v>3562.4338024236199</v>
      </c>
    </row>
    <row r="542" spans="1:4" x14ac:dyDescent="0.25">
      <c r="A542" t="s">
        <v>82</v>
      </c>
      <c r="B542">
        <v>3</v>
      </c>
      <c r="C542">
        <v>5</v>
      </c>
      <c r="D542">
        <v>409.77986984083998</v>
      </c>
    </row>
    <row r="543" spans="1:4" x14ac:dyDescent="0.25">
      <c r="A543" t="s">
        <v>80</v>
      </c>
      <c r="B543">
        <v>5</v>
      </c>
      <c r="C543">
        <v>29</v>
      </c>
      <c r="D543">
        <v>6523.46979610576</v>
      </c>
    </row>
    <row r="544" spans="1:4" x14ac:dyDescent="0.25">
      <c r="A544" t="s">
        <v>82</v>
      </c>
      <c r="B544">
        <v>3</v>
      </c>
      <c r="C544">
        <v>6</v>
      </c>
      <c r="D544">
        <v>234.73310886595601</v>
      </c>
    </row>
    <row r="545" spans="1:4" x14ac:dyDescent="0.25">
      <c r="A545" t="s">
        <v>80</v>
      </c>
      <c r="B545">
        <v>5</v>
      </c>
      <c r="C545">
        <v>30</v>
      </c>
      <c r="D545">
        <v>1436.5401930043599</v>
      </c>
    </row>
    <row r="546" spans="1:4" x14ac:dyDescent="0.25">
      <c r="A546" t="s">
        <v>82</v>
      </c>
      <c r="B546">
        <v>3</v>
      </c>
      <c r="C546">
        <v>7</v>
      </c>
      <c r="D546">
        <v>239.90940699591499</v>
      </c>
    </row>
    <row r="547" spans="1:4" x14ac:dyDescent="0.25">
      <c r="A547" t="s">
        <v>80</v>
      </c>
      <c r="B547">
        <v>5</v>
      </c>
      <c r="C547">
        <v>31</v>
      </c>
      <c r="D547">
        <v>6907.8398537851099</v>
      </c>
    </row>
    <row r="548" spans="1:4" x14ac:dyDescent="0.25">
      <c r="A548" t="s">
        <v>82</v>
      </c>
      <c r="B548">
        <v>3</v>
      </c>
      <c r="C548">
        <v>8</v>
      </c>
      <c r="D548">
        <v>239.55527022830299</v>
      </c>
    </row>
    <row r="549" spans="1:4" x14ac:dyDescent="0.25">
      <c r="A549" t="s">
        <v>78</v>
      </c>
      <c r="B549">
        <v>1</v>
      </c>
      <c r="C549">
        <v>1</v>
      </c>
      <c r="D549">
        <v>8514.6268645052296</v>
      </c>
    </row>
    <row r="550" spans="1:4" x14ac:dyDescent="0.25">
      <c r="A550" t="s">
        <v>82</v>
      </c>
      <c r="B550">
        <v>3</v>
      </c>
      <c r="C550">
        <v>9</v>
      </c>
      <c r="D550">
        <v>244.509049963758</v>
      </c>
    </row>
    <row r="551" spans="1:4" x14ac:dyDescent="0.25">
      <c r="A551" t="s">
        <v>78</v>
      </c>
      <c r="B551">
        <v>1</v>
      </c>
      <c r="C551">
        <v>2</v>
      </c>
      <c r="D551">
        <v>10789.7429628433</v>
      </c>
    </row>
    <row r="552" spans="1:4" x14ac:dyDescent="0.25">
      <c r="A552" t="s">
        <v>82</v>
      </c>
      <c r="B552">
        <v>3</v>
      </c>
      <c r="C552">
        <v>10</v>
      </c>
      <c r="D552">
        <v>248.92432612550201</v>
      </c>
    </row>
    <row r="553" spans="1:4" x14ac:dyDescent="0.25">
      <c r="A553" t="s">
        <v>78</v>
      </c>
      <c r="B553">
        <v>1</v>
      </c>
      <c r="C553">
        <v>3</v>
      </c>
      <c r="D553">
        <v>16293.7812712336</v>
      </c>
    </row>
    <row r="554" spans="1:4" x14ac:dyDescent="0.25">
      <c r="A554" t="s">
        <v>82</v>
      </c>
      <c r="B554">
        <v>3</v>
      </c>
      <c r="C554">
        <v>11</v>
      </c>
      <c r="D554">
        <v>248.42511701371299</v>
      </c>
    </row>
    <row r="555" spans="1:4" x14ac:dyDescent="0.25">
      <c r="A555" t="s">
        <v>78</v>
      </c>
      <c r="B555">
        <v>1</v>
      </c>
      <c r="C555">
        <v>4</v>
      </c>
      <c r="D555">
        <v>9027.1255435368294</v>
      </c>
    </row>
    <row r="556" spans="1:4" x14ac:dyDescent="0.25">
      <c r="A556" t="s">
        <v>82</v>
      </c>
      <c r="B556">
        <v>3</v>
      </c>
      <c r="C556">
        <v>12</v>
      </c>
      <c r="D556">
        <v>248.38681352786401</v>
      </c>
    </row>
    <row r="557" spans="1:4" x14ac:dyDescent="0.25">
      <c r="A557" t="s">
        <v>78</v>
      </c>
      <c r="B557">
        <v>1</v>
      </c>
      <c r="C557">
        <v>5</v>
      </c>
      <c r="D557">
        <v>18004.213050561499</v>
      </c>
    </row>
    <row r="558" spans="1:4" x14ac:dyDescent="0.25">
      <c r="A558" t="s">
        <v>78</v>
      </c>
      <c r="B558">
        <v>1</v>
      </c>
      <c r="C558">
        <v>6</v>
      </c>
      <c r="D558">
        <v>9132.7432579984597</v>
      </c>
    </row>
    <row r="559" spans="1:4" x14ac:dyDescent="0.25">
      <c r="A559" t="s">
        <v>78</v>
      </c>
      <c r="B559">
        <v>1</v>
      </c>
      <c r="C559">
        <v>7</v>
      </c>
      <c r="D559">
        <v>14702.802339547599</v>
      </c>
    </row>
    <row r="560" spans="1:4" x14ac:dyDescent="0.25">
      <c r="A560" t="s">
        <v>78</v>
      </c>
      <c r="B560">
        <v>1</v>
      </c>
      <c r="C560">
        <v>8</v>
      </c>
      <c r="D560">
        <v>16692.2429019847</v>
      </c>
    </row>
    <row r="561" spans="1:4" x14ac:dyDescent="0.25">
      <c r="A561" t="s">
        <v>78</v>
      </c>
      <c r="B561">
        <v>1</v>
      </c>
      <c r="C561">
        <v>9</v>
      </c>
      <c r="D561">
        <v>11042.560208863</v>
      </c>
    </row>
    <row r="562" spans="1:4" x14ac:dyDescent="0.25">
      <c r="A562" t="s">
        <v>78</v>
      </c>
      <c r="B562">
        <v>1</v>
      </c>
      <c r="C562">
        <v>10</v>
      </c>
      <c r="D562">
        <v>5590.3234443797</v>
      </c>
    </row>
    <row r="563" spans="1:4" x14ac:dyDescent="0.25">
      <c r="A563" t="s">
        <v>81</v>
      </c>
      <c r="B563">
        <v>5</v>
      </c>
      <c r="C563">
        <v>20</v>
      </c>
      <c r="D563">
        <v>3841.5791246520998</v>
      </c>
    </row>
    <row r="564" spans="1:4" x14ac:dyDescent="0.25">
      <c r="A564" t="s">
        <v>82</v>
      </c>
      <c r="B564">
        <v>3</v>
      </c>
      <c r="C564">
        <v>18</v>
      </c>
      <c r="D564">
        <v>916.38477010725899</v>
      </c>
    </row>
    <row r="565" spans="1:4" x14ac:dyDescent="0.25">
      <c r="A565" t="s">
        <v>78</v>
      </c>
      <c r="B565">
        <v>1</v>
      </c>
      <c r="C565">
        <v>11</v>
      </c>
      <c r="D565">
        <v>10011.4761327666</v>
      </c>
    </row>
    <row r="566" spans="1:4" x14ac:dyDescent="0.25">
      <c r="A566" t="s">
        <v>81</v>
      </c>
      <c r="B566">
        <v>5</v>
      </c>
      <c r="C566">
        <v>21</v>
      </c>
      <c r="D566">
        <v>1116.45366055758</v>
      </c>
    </row>
    <row r="567" spans="1:4" x14ac:dyDescent="0.25">
      <c r="A567" t="s">
        <v>82</v>
      </c>
      <c r="B567">
        <v>3</v>
      </c>
      <c r="C567">
        <v>19</v>
      </c>
      <c r="D567">
        <v>309.54002786378101</v>
      </c>
    </row>
    <row r="568" spans="1:4" x14ac:dyDescent="0.25">
      <c r="A568" t="s">
        <v>78</v>
      </c>
      <c r="B568">
        <v>1</v>
      </c>
      <c r="C568">
        <v>12</v>
      </c>
      <c r="D568">
        <v>8045.2531953337202</v>
      </c>
    </row>
    <row r="569" spans="1:4" x14ac:dyDescent="0.25">
      <c r="A569" t="s">
        <v>81</v>
      </c>
      <c r="B569">
        <v>5</v>
      </c>
      <c r="C569">
        <v>22</v>
      </c>
      <c r="D569">
        <v>1003.61423492878</v>
      </c>
    </row>
    <row r="570" spans="1:4" x14ac:dyDescent="0.25">
      <c r="A570" t="s">
        <v>78</v>
      </c>
      <c r="B570">
        <v>1</v>
      </c>
      <c r="C570">
        <v>13</v>
      </c>
      <c r="D570">
        <v>11316.8567157125</v>
      </c>
    </row>
    <row r="571" spans="1:4" x14ac:dyDescent="0.25">
      <c r="A571" t="s">
        <v>81</v>
      </c>
      <c r="B571">
        <v>5</v>
      </c>
      <c r="C571">
        <v>23</v>
      </c>
      <c r="D571">
        <v>912.25307237952802</v>
      </c>
    </row>
    <row r="572" spans="1:4" x14ac:dyDescent="0.25">
      <c r="A572" t="s">
        <v>78</v>
      </c>
      <c r="B572">
        <v>1</v>
      </c>
      <c r="C572">
        <v>14</v>
      </c>
      <c r="D572">
        <v>24042.1020044777</v>
      </c>
    </row>
    <row r="573" spans="1:4" x14ac:dyDescent="0.25">
      <c r="A573" t="s">
        <v>81</v>
      </c>
      <c r="B573">
        <v>5</v>
      </c>
      <c r="C573">
        <v>24</v>
      </c>
      <c r="D573">
        <v>838.91722706904</v>
      </c>
    </row>
    <row r="574" spans="1:4" x14ac:dyDescent="0.25">
      <c r="A574" t="s">
        <v>82</v>
      </c>
      <c r="B574">
        <v>3</v>
      </c>
      <c r="C574">
        <v>22</v>
      </c>
      <c r="D574">
        <v>338.47999925742499</v>
      </c>
    </row>
    <row r="575" spans="1:4" x14ac:dyDescent="0.25">
      <c r="A575" t="s">
        <v>78</v>
      </c>
      <c r="B575">
        <v>1</v>
      </c>
      <c r="C575">
        <v>15</v>
      </c>
      <c r="D575">
        <v>17142.8148946972</v>
      </c>
    </row>
    <row r="576" spans="1:4" x14ac:dyDescent="0.25">
      <c r="A576" t="s">
        <v>81</v>
      </c>
      <c r="B576">
        <v>5</v>
      </c>
      <c r="C576">
        <v>25</v>
      </c>
      <c r="D576">
        <v>785.63407379094394</v>
      </c>
    </row>
    <row r="577" spans="1:4" x14ac:dyDescent="0.25">
      <c r="A577" t="s">
        <v>82</v>
      </c>
      <c r="B577">
        <v>3</v>
      </c>
      <c r="C577">
        <v>23</v>
      </c>
      <c r="D577">
        <v>2664.0330343196401</v>
      </c>
    </row>
    <row r="578" spans="1:4" x14ac:dyDescent="0.25">
      <c r="A578" t="s">
        <v>78</v>
      </c>
      <c r="B578">
        <v>1</v>
      </c>
      <c r="C578">
        <v>16</v>
      </c>
      <c r="D578">
        <v>11370.5216434588</v>
      </c>
    </row>
    <row r="579" spans="1:4" x14ac:dyDescent="0.25">
      <c r="A579" t="s">
        <v>81</v>
      </c>
      <c r="B579">
        <v>5</v>
      </c>
      <c r="C579">
        <v>26</v>
      </c>
      <c r="D579">
        <v>742.27882076684295</v>
      </c>
    </row>
    <row r="580" spans="1:4" x14ac:dyDescent="0.25">
      <c r="A580" t="s">
        <v>82</v>
      </c>
      <c r="B580">
        <v>3</v>
      </c>
      <c r="C580">
        <v>24</v>
      </c>
      <c r="D580">
        <v>759.60822031216298</v>
      </c>
    </row>
    <row r="581" spans="1:4" x14ac:dyDescent="0.25">
      <c r="A581" t="s">
        <v>78</v>
      </c>
      <c r="B581">
        <v>1</v>
      </c>
      <c r="C581">
        <v>17</v>
      </c>
      <c r="D581">
        <v>5760.2922834629899</v>
      </c>
    </row>
    <row r="582" spans="1:4" x14ac:dyDescent="0.25">
      <c r="A582" t="s">
        <v>81</v>
      </c>
      <c r="B582">
        <v>5</v>
      </c>
      <c r="C582">
        <v>27</v>
      </c>
      <c r="D582">
        <v>704.18916978650498</v>
      </c>
    </row>
    <row r="583" spans="1:4" x14ac:dyDescent="0.25">
      <c r="A583" t="s">
        <v>82</v>
      </c>
      <c r="B583">
        <v>3</v>
      </c>
      <c r="C583">
        <v>25</v>
      </c>
      <c r="D583">
        <v>2728.7626875679898</v>
      </c>
    </row>
    <row r="584" spans="1:4" x14ac:dyDescent="0.25">
      <c r="A584" t="s">
        <v>78</v>
      </c>
      <c r="B584">
        <v>1</v>
      </c>
      <c r="C584">
        <v>18</v>
      </c>
      <c r="D584">
        <v>16828.097136167198</v>
      </c>
    </row>
    <row r="585" spans="1:4" x14ac:dyDescent="0.25">
      <c r="A585" t="s">
        <v>81</v>
      </c>
      <c r="B585">
        <v>5</v>
      </c>
      <c r="C585">
        <v>28</v>
      </c>
      <c r="D585">
        <v>670.68365717810502</v>
      </c>
    </row>
    <row r="586" spans="1:4" x14ac:dyDescent="0.25">
      <c r="A586" t="s">
        <v>82</v>
      </c>
      <c r="B586">
        <v>3</v>
      </c>
      <c r="C586">
        <v>26</v>
      </c>
      <c r="D586">
        <v>3269.6010114363198</v>
      </c>
    </row>
    <row r="587" spans="1:4" x14ac:dyDescent="0.25">
      <c r="A587" t="s">
        <v>78</v>
      </c>
      <c r="B587">
        <v>1</v>
      </c>
      <c r="C587">
        <v>19</v>
      </c>
      <c r="D587">
        <v>7621.3311454065997</v>
      </c>
    </row>
    <row r="588" spans="1:4" x14ac:dyDescent="0.25">
      <c r="A588" t="s">
        <v>81</v>
      </c>
      <c r="B588">
        <v>5</v>
      </c>
      <c r="C588">
        <v>29</v>
      </c>
      <c r="D588">
        <v>644.94684761702695</v>
      </c>
    </row>
    <row r="589" spans="1:4" x14ac:dyDescent="0.25">
      <c r="A589" t="s">
        <v>82</v>
      </c>
      <c r="B589">
        <v>3</v>
      </c>
      <c r="C589">
        <v>27</v>
      </c>
      <c r="D589">
        <v>1105.4600804885499</v>
      </c>
    </row>
    <row r="590" spans="1:4" x14ac:dyDescent="0.25">
      <c r="A590" t="s">
        <v>78</v>
      </c>
      <c r="B590">
        <v>1</v>
      </c>
      <c r="C590">
        <v>20</v>
      </c>
      <c r="D590">
        <v>10778.433672556001</v>
      </c>
    </row>
    <row r="591" spans="1:4" x14ac:dyDescent="0.25">
      <c r="A591" t="s">
        <v>81</v>
      </c>
      <c r="B591">
        <v>5</v>
      </c>
      <c r="C591">
        <v>30</v>
      </c>
      <c r="D591">
        <v>617.39011109163403</v>
      </c>
    </row>
    <row r="592" spans="1:4" x14ac:dyDescent="0.25">
      <c r="A592" t="s">
        <v>82</v>
      </c>
      <c r="B592">
        <v>3</v>
      </c>
      <c r="C592">
        <v>28</v>
      </c>
      <c r="D592">
        <v>1099.91058597759</v>
      </c>
    </row>
    <row r="593" spans="1:4" x14ac:dyDescent="0.25">
      <c r="A593" t="s">
        <v>78</v>
      </c>
      <c r="B593">
        <v>1</v>
      </c>
      <c r="C593">
        <v>21</v>
      </c>
      <c r="D593">
        <v>9029.9153004763702</v>
      </c>
    </row>
    <row r="594" spans="1:4" x14ac:dyDescent="0.25">
      <c r="A594" t="s">
        <v>81</v>
      </c>
      <c r="B594">
        <v>5</v>
      </c>
      <c r="C594">
        <v>31</v>
      </c>
      <c r="D594">
        <v>593.37629170638502</v>
      </c>
    </row>
    <row r="595" spans="1:4" x14ac:dyDescent="0.25">
      <c r="A595" t="s">
        <v>82</v>
      </c>
      <c r="B595">
        <v>3</v>
      </c>
      <c r="C595">
        <v>29</v>
      </c>
      <c r="D595">
        <v>1082.5962878968201</v>
      </c>
    </row>
    <row r="596" spans="1:4" x14ac:dyDescent="0.25">
      <c r="A596" t="s">
        <v>78</v>
      </c>
      <c r="B596">
        <v>1</v>
      </c>
      <c r="C596">
        <v>22</v>
      </c>
      <c r="D596">
        <v>3869.2550605035499</v>
      </c>
    </row>
    <row r="597" spans="1:4" x14ac:dyDescent="0.25">
      <c r="A597" t="s">
        <v>82</v>
      </c>
      <c r="B597">
        <v>3</v>
      </c>
      <c r="C597">
        <v>30</v>
      </c>
      <c r="D597">
        <v>1091.4273927593199</v>
      </c>
    </row>
    <row r="598" spans="1:4" x14ac:dyDescent="0.25">
      <c r="A598" t="s">
        <v>78</v>
      </c>
      <c r="B598">
        <v>1</v>
      </c>
      <c r="C598">
        <v>23</v>
      </c>
      <c r="D598">
        <v>16598.966827989199</v>
      </c>
    </row>
    <row r="599" spans="1:4" x14ac:dyDescent="0.25">
      <c r="A599" t="s">
        <v>82</v>
      </c>
      <c r="B599">
        <v>3</v>
      </c>
      <c r="C599">
        <v>31</v>
      </c>
      <c r="D599">
        <v>1085.2806282116301</v>
      </c>
    </row>
    <row r="600" spans="1:4" x14ac:dyDescent="0.25">
      <c r="A600" t="s">
        <v>78</v>
      </c>
      <c r="B600">
        <v>1</v>
      </c>
      <c r="C600">
        <v>24</v>
      </c>
      <c r="D600">
        <v>10358.753627505301</v>
      </c>
    </row>
    <row r="601" spans="1:4" x14ac:dyDescent="0.25">
      <c r="A601" t="s">
        <v>82</v>
      </c>
      <c r="B601">
        <v>4</v>
      </c>
      <c r="C601">
        <v>1</v>
      </c>
      <c r="D601">
        <v>898.53268705853202</v>
      </c>
    </row>
    <row r="602" spans="1:4" x14ac:dyDescent="0.25">
      <c r="A602" t="s">
        <v>78</v>
      </c>
      <c r="B602">
        <v>1</v>
      </c>
      <c r="C602">
        <v>25</v>
      </c>
      <c r="D602">
        <v>7310.7174247048897</v>
      </c>
    </row>
    <row r="603" spans="1:4" x14ac:dyDescent="0.25">
      <c r="A603" t="s">
        <v>82</v>
      </c>
      <c r="B603">
        <v>4</v>
      </c>
      <c r="C603">
        <v>2</v>
      </c>
      <c r="D603">
        <v>902.22993578178</v>
      </c>
    </row>
    <row r="604" spans="1:4" x14ac:dyDescent="0.25">
      <c r="A604" t="s">
        <v>78</v>
      </c>
      <c r="B604">
        <v>1</v>
      </c>
      <c r="C604">
        <v>26</v>
      </c>
      <c r="D604">
        <v>7207.3991269328299</v>
      </c>
    </row>
    <row r="605" spans="1:4" x14ac:dyDescent="0.25">
      <c r="A605" t="s">
        <v>82</v>
      </c>
      <c r="B605">
        <v>4</v>
      </c>
      <c r="C605">
        <v>3</v>
      </c>
      <c r="D605">
        <v>907.63110998903096</v>
      </c>
    </row>
    <row r="606" spans="1:4" x14ac:dyDescent="0.25">
      <c r="A606" t="s">
        <v>78</v>
      </c>
      <c r="B606">
        <v>1</v>
      </c>
      <c r="C606">
        <v>27</v>
      </c>
      <c r="D606">
        <v>6544.2190835333404</v>
      </c>
    </row>
    <row r="607" spans="1:4" x14ac:dyDescent="0.25">
      <c r="A607" t="s">
        <v>82</v>
      </c>
      <c r="B607">
        <v>4</v>
      </c>
      <c r="C607">
        <v>4</v>
      </c>
      <c r="D607">
        <v>894.27454267856797</v>
      </c>
    </row>
    <row r="608" spans="1:4" x14ac:dyDescent="0.25">
      <c r="A608" t="s">
        <v>78</v>
      </c>
      <c r="B608">
        <v>1</v>
      </c>
      <c r="C608">
        <v>28</v>
      </c>
      <c r="D608">
        <v>8544.8293735884108</v>
      </c>
    </row>
    <row r="609" spans="1:4" x14ac:dyDescent="0.25">
      <c r="A609" t="s">
        <v>82</v>
      </c>
      <c r="B609">
        <v>4</v>
      </c>
      <c r="C609">
        <v>5</v>
      </c>
      <c r="D609">
        <v>878.23322701618702</v>
      </c>
    </row>
    <row r="610" spans="1:4" x14ac:dyDescent="0.25">
      <c r="A610" t="s">
        <v>78</v>
      </c>
      <c r="B610">
        <v>1</v>
      </c>
      <c r="C610">
        <v>29</v>
      </c>
      <c r="D610">
        <v>21594.866638555399</v>
      </c>
    </row>
    <row r="611" spans="1:4" x14ac:dyDescent="0.25">
      <c r="A611" t="s">
        <v>82</v>
      </c>
      <c r="B611">
        <v>4</v>
      </c>
      <c r="C611">
        <v>6</v>
      </c>
      <c r="D611">
        <v>3783.7283787923602</v>
      </c>
    </row>
    <row r="612" spans="1:4" x14ac:dyDescent="0.25">
      <c r="A612" t="s">
        <v>78</v>
      </c>
      <c r="B612">
        <v>1</v>
      </c>
      <c r="C612">
        <v>30</v>
      </c>
      <c r="D612">
        <v>6664.8104642240996</v>
      </c>
    </row>
    <row r="613" spans="1:4" x14ac:dyDescent="0.25">
      <c r="A613" t="s">
        <v>82</v>
      </c>
      <c r="B613">
        <v>4</v>
      </c>
      <c r="C613">
        <v>7</v>
      </c>
      <c r="D613">
        <v>4837.9748678597098</v>
      </c>
    </row>
    <row r="614" spans="1:4" x14ac:dyDescent="0.25">
      <c r="A614" t="s">
        <v>78</v>
      </c>
      <c r="B614">
        <v>1</v>
      </c>
      <c r="C614">
        <v>31</v>
      </c>
      <c r="D614">
        <v>5158.5266943656397</v>
      </c>
    </row>
    <row r="615" spans="1:4" x14ac:dyDescent="0.25">
      <c r="A615" t="s">
        <v>82</v>
      </c>
      <c r="B615">
        <v>4</v>
      </c>
      <c r="C615">
        <v>8</v>
      </c>
      <c r="D615">
        <v>1044.6800051717901</v>
      </c>
    </row>
    <row r="616" spans="1:4" x14ac:dyDescent="0.25">
      <c r="A616" t="s">
        <v>78</v>
      </c>
      <c r="B616">
        <v>2</v>
      </c>
      <c r="C616">
        <v>1</v>
      </c>
      <c r="D616">
        <v>7475.9660546514397</v>
      </c>
    </row>
    <row r="617" spans="1:4" x14ac:dyDescent="0.25">
      <c r="A617" t="s">
        <v>82</v>
      </c>
      <c r="B617">
        <v>4</v>
      </c>
      <c r="C617">
        <v>9</v>
      </c>
      <c r="D617">
        <v>863.66565345695994</v>
      </c>
    </row>
    <row r="618" spans="1:4" x14ac:dyDescent="0.25">
      <c r="A618" t="s">
        <v>78</v>
      </c>
      <c r="B618">
        <v>2</v>
      </c>
      <c r="C618">
        <v>2</v>
      </c>
      <c r="D618">
        <v>10429.4414007921</v>
      </c>
    </row>
    <row r="619" spans="1:4" x14ac:dyDescent="0.25">
      <c r="A619" t="s">
        <v>82</v>
      </c>
      <c r="B619">
        <v>4</v>
      </c>
      <c r="C619">
        <v>10</v>
      </c>
      <c r="D619">
        <v>813.21348437848599</v>
      </c>
    </row>
    <row r="620" spans="1:4" x14ac:dyDescent="0.25">
      <c r="A620" t="s">
        <v>78</v>
      </c>
      <c r="B620">
        <v>2</v>
      </c>
      <c r="C620">
        <v>3</v>
      </c>
      <c r="D620">
        <v>1931.2685708856</v>
      </c>
    </row>
    <row r="621" spans="1:4" x14ac:dyDescent="0.25">
      <c r="A621" t="s">
        <v>82</v>
      </c>
      <c r="B621">
        <v>4</v>
      </c>
      <c r="C621">
        <v>11</v>
      </c>
      <c r="D621">
        <v>805.92920385135096</v>
      </c>
    </row>
    <row r="622" spans="1:4" x14ac:dyDescent="0.25">
      <c r="A622" t="s">
        <v>78</v>
      </c>
      <c r="B622">
        <v>2</v>
      </c>
      <c r="C622">
        <v>4</v>
      </c>
      <c r="D622">
        <v>6445.8264165214096</v>
      </c>
    </row>
    <row r="623" spans="1:4" x14ac:dyDescent="0.25">
      <c r="A623" t="s">
        <v>79</v>
      </c>
      <c r="B623">
        <v>1</v>
      </c>
      <c r="C623">
        <v>1</v>
      </c>
      <c r="D623">
        <v>5290.3161694069904</v>
      </c>
    </row>
    <row r="624" spans="1:4" x14ac:dyDescent="0.25">
      <c r="A624" t="s">
        <v>82</v>
      </c>
      <c r="B624">
        <v>4</v>
      </c>
      <c r="C624">
        <v>12</v>
      </c>
      <c r="D624">
        <v>833.08858330469798</v>
      </c>
    </row>
    <row r="625" spans="1:4" x14ac:dyDescent="0.25">
      <c r="A625" t="s">
        <v>78</v>
      </c>
      <c r="B625">
        <v>2</v>
      </c>
      <c r="C625">
        <v>5</v>
      </c>
      <c r="D625">
        <v>8012.2201683263302</v>
      </c>
    </row>
    <row r="626" spans="1:4" x14ac:dyDescent="0.25">
      <c r="A626" t="s">
        <v>79</v>
      </c>
      <c r="B626">
        <v>1</v>
      </c>
      <c r="C626">
        <v>2</v>
      </c>
      <c r="D626">
        <v>10927.3364212705</v>
      </c>
    </row>
    <row r="627" spans="1:4" x14ac:dyDescent="0.25">
      <c r="A627" t="s">
        <v>82</v>
      </c>
      <c r="B627">
        <v>4</v>
      </c>
      <c r="C627">
        <v>13</v>
      </c>
      <c r="D627">
        <v>831.08578102502599</v>
      </c>
    </row>
    <row r="628" spans="1:4" x14ac:dyDescent="0.25">
      <c r="A628" t="s">
        <v>78</v>
      </c>
      <c r="B628">
        <v>2</v>
      </c>
      <c r="C628">
        <v>6</v>
      </c>
      <c r="D628">
        <v>3732.3038994950198</v>
      </c>
    </row>
    <row r="629" spans="1:4" x14ac:dyDescent="0.25">
      <c r="A629" t="s">
        <v>79</v>
      </c>
      <c r="B629">
        <v>1</v>
      </c>
      <c r="C629">
        <v>3</v>
      </c>
      <c r="D629">
        <v>17500.3384638018</v>
      </c>
    </row>
    <row r="630" spans="1:4" x14ac:dyDescent="0.25">
      <c r="A630" t="s">
        <v>82</v>
      </c>
      <c r="B630">
        <v>4</v>
      </c>
      <c r="C630">
        <v>14</v>
      </c>
      <c r="D630">
        <v>825.94559056000298</v>
      </c>
    </row>
    <row r="631" spans="1:4" x14ac:dyDescent="0.25">
      <c r="A631" t="s">
        <v>78</v>
      </c>
      <c r="B631">
        <v>2</v>
      </c>
      <c r="C631">
        <v>7</v>
      </c>
      <c r="D631">
        <v>2297.3886115300202</v>
      </c>
    </row>
    <row r="632" spans="1:4" x14ac:dyDescent="0.25">
      <c r="A632" t="s">
        <v>79</v>
      </c>
      <c r="B632">
        <v>1</v>
      </c>
      <c r="C632">
        <v>4</v>
      </c>
      <c r="D632">
        <v>465.16229683474</v>
      </c>
    </row>
    <row r="633" spans="1:4" x14ac:dyDescent="0.25">
      <c r="A633" t="s">
        <v>82</v>
      </c>
      <c r="B633">
        <v>4</v>
      </c>
      <c r="C633">
        <v>15</v>
      </c>
      <c r="D633">
        <v>789.11973180783104</v>
      </c>
    </row>
    <row r="634" spans="1:4" x14ac:dyDescent="0.25">
      <c r="A634" t="s">
        <v>78</v>
      </c>
      <c r="B634">
        <v>2</v>
      </c>
      <c r="C634">
        <v>8</v>
      </c>
      <c r="D634">
        <v>11394.336620891399</v>
      </c>
    </row>
    <row r="635" spans="1:4" x14ac:dyDescent="0.25">
      <c r="A635" t="s">
        <v>79</v>
      </c>
      <c r="B635">
        <v>1</v>
      </c>
      <c r="C635">
        <v>5</v>
      </c>
      <c r="D635">
        <v>514.13985753917598</v>
      </c>
    </row>
    <row r="636" spans="1:4" x14ac:dyDescent="0.25">
      <c r="A636" t="s">
        <v>82</v>
      </c>
      <c r="B636">
        <v>4</v>
      </c>
      <c r="C636">
        <v>16</v>
      </c>
      <c r="D636">
        <v>786.95650053687302</v>
      </c>
    </row>
    <row r="637" spans="1:4" x14ac:dyDescent="0.25">
      <c r="A637" t="s">
        <v>78</v>
      </c>
      <c r="B637">
        <v>2</v>
      </c>
      <c r="C637">
        <v>9</v>
      </c>
      <c r="D637">
        <v>2389.1189263508099</v>
      </c>
    </row>
    <row r="638" spans="1:4" x14ac:dyDescent="0.25">
      <c r="A638" t="s">
        <v>79</v>
      </c>
      <c r="B638">
        <v>1</v>
      </c>
      <c r="C638">
        <v>6</v>
      </c>
      <c r="D638">
        <v>524.90848090590202</v>
      </c>
    </row>
    <row r="639" spans="1:4" x14ac:dyDescent="0.25">
      <c r="A639" t="s">
        <v>82</v>
      </c>
      <c r="B639">
        <v>4</v>
      </c>
      <c r="C639">
        <v>17</v>
      </c>
      <c r="D639">
        <v>738.09821423260496</v>
      </c>
    </row>
    <row r="640" spans="1:4" x14ac:dyDescent="0.25">
      <c r="A640" t="s">
        <v>78</v>
      </c>
      <c r="B640">
        <v>2</v>
      </c>
      <c r="C640">
        <v>10</v>
      </c>
      <c r="D640">
        <v>5619.4780592779098</v>
      </c>
    </row>
    <row r="641" spans="1:4" x14ac:dyDescent="0.25">
      <c r="A641" t="s">
        <v>79</v>
      </c>
      <c r="B641">
        <v>1</v>
      </c>
      <c r="C641">
        <v>7</v>
      </c>
      <c r="D641">
        <v>532.65537930667904</v>
      </c>
    </row>
    <row r="642" spans="1:4" x14ac:dyDescent="0.25">
      <c r="A642" t="s">
        <v>82</v>
      </c>
      <c r="B642">
        <v>4</v>
      </c>
      <c r="C642">
        <v>18</v>
      </c>
      <c r="D642">
        <v>732.94226313688102</v>
      </c>
    </row>
    <row r="643" spans="1:4" x14ac:dyDescent="0.25">
      <c r="A643" t="s">
        <v>78</v>
      </c>
      <c r="B643">
        <v>2</v>
      </c>
      <c r="C643">
        <v>11</v>
      </c>
      <c r="D643">
        <v>8788.2936714866391</v>
      </c>
    </row>
    <row r="644" spans="1:4" x14ac:dyDescent="0.25">
      <c r="A644" t="s">
        <v>79</v>
      </c>
      <c r="B644">
        <v>1</v>
      </c>
      <c r="C644">
        <v>8</v>
      </c>
      <c r="D644">
        <v>1863.70828444312</v>
      </c>
    </row>
    <row r="645" spans="1:4" x14ac:dyDescent="0.25">
      <c r="A645" t="s">
        <v>82</v>
      </c>
      <c r="B645">
        <v>4</v>
      </c>
      <c r="C645">
        <v>19</v>
      </c>
      <c r="D645">
        <v>721.05399240683596</v>
      </c>
    </row>
    <row r="646" spans="1:4" x14ac:dyDescent="0.25">
      <c r="A646" t="s">
        <v>78</v>
      </c>
      <c r="B646">
        <v>2</v>
      </c>
      <c r="C646">
        <v>12</v>
      </c>
      <c r="D646">
        <v>5430.2838559023503</v>
      </c>
    </row>
    <row r="647" spans="1:4" x14ac:dyDescent="0.25">
      <c r="A647" t="s">
        <v>79</v>
      </c>
      <c r="B647">
        <v>1</v>
      </c>
      <c r="C647">
        <v>9</v>
      </c>
      <c r="D647">
        <v>716.21806770232001</v>
      </c>
    </row>
    <row r="648" spans="1:4" x14ac:dyDescent="0.25">
      <c r="A648" t="s">
        <v>82</v>
      </c>
      <c r="B648">
        <v>4</v>
      </c>
      <c r="C648">
        <v>20</v>
      </c>
      <c r="D648">
        <v>406.12605895025598</v>
      </c>
    </row>
    <row r="649" spans="1:4" x14ac:dyDescent="0.25">
      <c r="A649" t="s">
        <v>78</v>
      </c>
      <c r="B649">
        <v>2</v>
      </c>
      <c r="C649">
        <v>13</v>
      </c>
      <c r="D649">
        <v>2522.90731821594</v>
      </c>
    </row>
    <row r="650" spans="1:4" x14ac:dyDescent="0.25">
      <c r="A650" t="s">
        <v>79</v>
      </c>
      <c r="B650">
        <v>1</v>
      </c>
      <c r="C650">
        <v>10</v>
      </c>
      <c r="D650">
        <v>798.16279867668698</v>
      </c>
    </row>
    <row r="651" spans="1:4" x14ac:dyDescent="0.25">
      <c r="A651" t="s">
        <v>78</v>
      </c>
      <c r="B651">
        <v>2</v>
      </c>
      <c r="C651">
        <v>14</v>
      </c>
      <c r="D651">
        <v>10090.8348424014</v>
      </c>
    </row>
    <row r="652" spans="1:4" x14ac:dyDescent="0.25">
      <c r="A652" t="s">
        <v>79</v>
      </c>
      <c r="B652">
        <v>1</v>
      </c>
      <c r="C652">
        <v>11</v>
      </c>
      <c r="D652">
        <v>803.97438575845695</v>
      </c>
    </row>
    <row r="653" spans="1:4" x14ac:dyDescent="0.25">
      <c r="A653" t="s">
        <v>78</v>
      </c>
      <c r="B653">
        <v>2</v>
      </c>
      <c r="C653">
        <v>15</v>
      </c>
      <c r="D653">
        <v>9027.2285650745107</v>
      </c>
    </row>
    <row r="654" spans="1:4" x14ac:dyDescent="0.25">
      <c r="A654" t="s">
        <v>79</v>
      </c>
      <c r="B654">
        <v>1</v>
      </c>
      <c r="C654">
        <v>12</v>
      </c>
      <c r="D654">
        <v>799.14401982574998</v>
      </c>
    </row>
    <row r="655" spans="1:4" x14ac:dyDescent="0.25">
      <c r="A655" t="s">
        <v>78</v>
      </c>
      <c r="B655">
        <v>2</v>
      </c>
      <c r="C655">
        <v>16</v>
      </c>
      <c r="D655">
        <v>5337.1656558823597</v>
      </c>
    </row>
    <row r="656" spans="1:4" x14ac:dyDescent="0.25">
      <c r="A656" t="s">
        <v>79</v>
      </c>
      <c r="B656">
        <v>1</v>
      </c>
      <c r="C656">
        <v>13</v>
      </c>
      <c r="D656">
        <v>812.79077395512104</v>
      </c>
    </row>
    <row r="657" spans="1:4" x14ac:dyDescent="0.25">
      <c r="A657" t="s">
        <v>78</v>
      </c>
      <c r="B657">
        <v>2</v>
      </c>
      <c r="C657">
        <v>17</v>
      </c>
      <c r="D657">
        <v>8892.0238883480997</v>
      </c>
    </row>
    <row r="658" spans="1:4" x14ac:dyDescent="0.25">
      <c r="A658" t="s">
        <v>79</v>
      </c>
      <c r="B658">
        <v>1</v>
      </c>
      <c r="C658">
        <v>14</v>
      </c>
      <c r="D658">
        <v>817.04214180635802</v>
      </c>
    </row>
    <row r="659" spans="1:4" x14ac:dyDescent="0.25">
      <c r="A659" t="s">
        <v>78</v>
      </c>
      <c r="B659">
        <v>2</v>
      </c>
      <c r="C659">
        <v>18</v>
      </c>
      <c r="D659">
        <v>5553.9520140957202</v>
      </c>
    </row>
    <row r="660" spans="1:4" x14ac:dyDescent="0.25">
      <c r="A660" t="s">
        <v>79</v>
      </c>
      <c r="B660">
        <v>1</v>
      </c>
      <c r="C660">
        <v>15</v>
      </c>
      <c r="D660">
        <v>2330.7788603582999</v>
      </c>
    </row>
    <row r="661" spans="1:4" x14ac:dyDescent="0.25">
      <c r="A661" t="s">
        <v>78</v>
      </c>
      <c r="B661">
        <v>2</v>
      </c>
      <c r="C661">
        <v>19</v>
      </c>
      <c r="D661">
        <v>15536.2137367835</v>
      </c>
    </row>
    <row r="662" spans="1:4" x14ac:dyDescent="0.25">
      <c r="A662" t="s">
        <v>79</v>
      </c>
      <c r="B662">
        <v>1</v>
      </c>
      <c r="C662">
        <v>16</v>
      </c>
      <c r="D662">
        <v>823.81107978819296</v>
      </c>
    </row>
    <row r="663" spans="1:4" x14ac:dyDescent="0.25">
      <c r="A663" t="s">
        <v>78</v>
      </c>
      <c r="B663">
        <v>2</v>
      </c>
      <c r="C663">
        <v>20</v>
      </c>
      <c r="D663">
        <v>13150.7466863422</v>
      </c>
    </row>
    <row r="664" spans="1:4" x14ac:dyDescent="0.25">
      <c r="A664" t="s">
        <v>79</v>
      </c>
      <c r="B664">
        <v>1</v>
      </c>
      <c r="C664">
        <v>17</v>
      </c>
      <c r="D664">
        <v>883.14095383782603</v>
      </c>
    </row>
    <row r="665" spans="1:4" x14ac:dyDescent="0.25">
      <c r="A665" t="s">
        <v>78</v>
      </c>
      <c r="B665">
        <v>2</v>
      </c>
      <c r="C665">
        <v>21</v>
      </c>
      <c r="D665">
        <v>14284.0523339879</v>
      </c>
    </row>
    <row r="666" spans="1:4" x14ac:dyDescent="0.25">
      <c r="A666" t="s">
        <v>79</v>
      </c>
      <c r="B666">
        <v>1</v>
      </c>
      <c r="C666">
        <v>18</v>
      </c>
      <c r="D666">
        <v>1996.7202181007599</v>
      </c>
    </row>
    <row r="667" spans="1:4" x14ac:dyDescent="0.25">
      <c r="A667" t="s">
        <v>78</v>
      </c>
      <c r="B667">
        <v>2</v>
      </c>
      <c r="C667">
        <v>22</v>
      </c>
      <c r="D667">
        <v>7294.7534236905203</v>
      </c>
    </row>
    <row r="668" spans="1:4" x14ac:dyDescent="0.25">
      <c r="A668" t="s">
        <v>79</v>
      </c>
      <c r="B668">
        <v>1</v>
      </c>
      <c r="C668">
        <v>19</v>
      </c>
      <c r="D668">
        <v>691.78223057049195</v>
      </c>
    </row>
    <row r="669" spans="1:4" x14ac:dyDescent="0.25">
      <c r="A669" t="s">
        <v>78</v>
      </c>
      <c r="B669">
        <v>2</v>
      </c>
      <c r="C669">
        <v>23</v>
      </c>
      <c r="D669">
        <v>9328.5561503257904</v>
      </c>
    </row>
    <row r="670" spans="1:4" x14ac:dyDescent="0.25">
      <c r="A670" t="s">
        <v>79</v>
      </c>
      <c r="B670">
        <v>1</v>
      </c>
      <c r="C670">
        <v>20</v>
      </c>
      <c r="D670">
        <v>731.19211508201397</v>
      </c>
    </row>
    <row r="671" spans="1:4" x14ac:dyDescent="0.25">
      <c r="A671" t="s">
        <v>78</v>
      </c>
      <c r="B671">
        <v>2</v>
      </c>
      <c r="C671">
        <v>24</v>
      </c>
      <c r="D671">
        <v>9298.09615798903</v>
      </c>
    </row>
    <row r="672" spans="1:4" x14ac:dyDescent="0.25">
      <c r="A672" t="s">
        <v>79</v>
      </c>
      <c r="B672">
        <v>1</v>
      </c>
      <c r="C672">
        <v>21</v>
      </c>
      <c r="D672">
        <v>723.41921135294501</v>
      </c>
    </row>
    <row r="673" spans="1:4" x14ac:dyDescent="0.25">
      <c r="A673" t="s">
        <v>78</v>
      </c>
      <c r="B673">
        <v>2</v>
      </c>
      <c r="C673">
        <v>25</v>
      </c>
      <c r="D673">
        <v>13074.4159172208</v>
      </c>
    </row>
    <row r="674" spans="1:4" x14ac:dyDescent="0.25">
      <c r="A674" t="s">
        <v>79</v>
      </c>
      <c r="B674">
        <v>1</v>
      </c>
      <c r="C674">
        <v>22</v>
      </c>
      <c r="D674">
        <v>411.11715190548199</v>
      </c>
    </row>
    <row r="675" spans="1:4" x14ac:dyDescent="0.25">
      <c r="A675" t="s">
        <v>78</v>
      </c>
      <c r="B675">
        <v>2</v>
      </c>
      <c r="C675">
        <v>26</v>
      </c>
      <c r="D675">
        <v>7698.1714967805601</v>
      </c>
    </row>
    <row r="676" spans="1:4" x14ac:dyDescent="0.25">
      <c r="A676" t="s">
        <v>79</v>
      </c>
      <c r="B676">
        <v>1</v>
      </c>
      <c r="C676">
        <v>23</v>
      </c>
      <c r="D676">
        <v>434.04996470157101</v>
      </c>
    </row>
    <row r="677" spans="1:4" x14ac:dyDescent="0.25">
      <c r="A677" t="s">
        <v>78</v>
      </c>
      <c r="B677">
        <v>2</v>
      </c>
      <c r="C677">
        <v>27</v>
      </c>
      <c r="D677">
        <v>9931.8675422661508</v>
      </c>
    </row>
    <row r="678" spans="1:4" x14ac:dyDescent="0.25">
      <c r="A678" t="s">
        <v>79</v>
      </c>
      <c r="B678">
        <v>1</v>
      </c>
      <c r="C678">
        <v>24</v>
      </c>
      <c r="D678">
        <v>6473.9003557741698</v>
      </c>
    </row>
    <row r="679" spans="1:4" x14ac:dyDescent="0.25">
      <c r="A679" t="s">
        <v>78</v>
      </c>
      <c r="B679">
        <v>2</v>
      </c>
      <c r="C679">
        <v>28</v>
      </c>
      <c r="D679">
        <v>5914.2778791814299</v>
      </c>
    </row>
    <row r="680" spans="1:4" x14ac:dyDescent="0.25">
      <c r="A680" t="s">
        <v>79</v>
      </c>
      <c r="B680">
        <v>1</v>
      </c>
      <c r="C680">
        <v>25</v>
      </c>
      <c r="D680">
        <v>1611.68019987704</v>
      </c>
    </row>
    <row r="681" spans="1:4" x14ac:dyDescent="0.25">
      <c r="A681" t="s">
        <v>61</v>
      </c>
      <c r="B681">
        <v>1</v>
      </c>
      <c r="C681">
        <v>1</v>
      </c>
      <c r="D681">
        <v>3967.6429147632598</v>
      </c>
    </row>
    <row r="682" spans="1:4" x14ac:dyDescent="0.25">
      <c r="A682" t="s">
        <v>79</v>
      </c>
      <c r="B682">
        <v>1</v>
      </c>
      <c r="C682">
        <v>26</v>
      </c>
      <c r="D682">
        <v>3888.96350964667</v>
      </c>
    </row>
    <row r="683" spans="1:4" x14ac:dyDescent="0.25">
      <c r="A683" t="s">
        <v>61</v>
      </c>
      <c r="B683">
        <v>1</v>
      </c>
      <c r="C683">
        <v>2</v>
      </c>
      <c r="D683">
        <v>5091.2971663379703</v>
      </c>
    </row>
    <row r="684" spans="1:4" x14ac:dyDescent="0.25">
      <c r="A684" t="s">
        <v>79</v>
      </c>
      <c r="B684">
        <v>1</v>
      </c>
      <c r="C684">
        <v>27</v>
      </c>
      <c r="D684">
        <v>3719.8158868615401</v>
      </c>
    </row>
    <row r="685" spans="1:4" x14ac:dyDescent="0.25">
      <c r="A685" t="s">
        <v>61</v>
      </c>
      <c r="B685">
        <v>1</v>
      </c>
      <c r="C685">
        <v>3</v>
      </c>
      <c r="D685">
        <v>9987.9247774972591</v>
      </c>
    </row>
    <row r="686" spans="1:4" x14ac:dyDescent="0.25">
      <c r="A686" t="s">
        <v>79</v>
      </c>
      <c r="B686">
        <v>1</v>
      </c>
      <c r="C686">
        <v>28</v>
      </c>
      <c r="D686">
        <v>5295.30371285211</v>
      </c>
    </row>
    <row r="687" spans="1:4" x14ac:dyDescent="0.25">
      <c r="A687" t="s">
        <v>61</v>
      </c>
      <c r="B687">
        <v>1</v>
      </c>
      <c r="C687">
        <v>4</v>
      </c>
      <c r="D687">
        <v>7075.9807729589902</v>
      </c>
    </row>
    <row r="688" spans="1:4" x14ac:dyDescent="0.25">
      <c r="A688" t="s">
        <v>78</v>
      </c>
      <c r="B688">
        <v>3</v>
      </c>
      <c r="C688">
        <v>1</v>
      </c>
      <c r="D688">
        <v>5828.5932227317599</v>
      </c>
    </row>
    <row r="689" spans="1:4" x14ac:dyDescent="0.25">
      <c r="A689" t="s">
        <v>79</v>
      </c>
      <c r="B689">
        <v>1</v>
      </c>
      <c r="C689">
        <v>29</v>
      </c>
      <c r="D689">
        <v>13738.061408716299</v>
      </c>
    </row>
    <row r="690" spans="1:4" x14ac:dyDescent="0.25">
      <c r="A690" t="s">
        <v>61</v>
      </c>
      <c r="B690">
        <v>1</v>
      </c>
      <c r="C690">
        <v>5</v>
      </c>
      <c r="D690">
        <v>12855.091411053199</v>
      </c>
    </row>
    <row r="691" spans="1:4" x14ac:dyDescent="0.25">
      <c r="A691" t="s">
        <v>78</v>
      </c>
      <c r="B691">
        <v>3</v>
      </c>
      <c r="C691">
        <v>2</v>
      </c>
      <c r="D691">
        <v>1999.29776419922</v>
      </c>
    </row>
    <row r="692" spans="1:4" x14ac:dyDescent="0.25">
      <c r="A692" t="s">
        <v>79</v>
      </c>
      <c r="B692">
        <v>1</v>
      </c>
      <c r="C692">
        <v>30</v>
      </c>
      <c r="D692">
        <v>4689.4092189324001</v>
      </c>
    </row>
    <row r="693" spans="1:4" x14ac:dyDescent="0.25">
      <c r="A693" t="s">
        <v>61</v>
      </c>
      <c r="B693">
        <v>1</v>
      </c>
      <c r="C693">
        <v>6</v>
      </c>
      <c r="D693">
        <v>4685.6646455551199</v>
      </c>
    </row>
    <row r="694" spans="1:4" x14ac:dyDescent="0.25">
      <c r="A694" t="s">
        <v>78</v>
      </c>
      <c r="B694">
        <v>3</v>
      </c>
      <c r="C694">
        <v>3</v>
      </c>
      <c r="D694">
        <v>9970.7216997307496</v>
      </c>
    </row>
    <row r="695" spans="1:4" x14ac:dyDescent="0.25">
      <c r="A695" t="s">
        <v>79</v>
      </c>
      <c r="B695">
        <v>1</v>
      </c>
      <c r="C695">
        <v>31</v>
      </c>
      <c r="D695">
        <v>3542.4695460594298</v>
      </c>
    </row>
    <row r="696" spans="1:4" x14ac:dyDescent="0.25">
      <c r="A696" t="s">
        <v>61</v>
      </c>
      <c r="B696">
        <v>1</v>
      </c>
      <c r="C696">
        <v>7</v>
      </c>
      <c r="D696">
        <v>5925.0914101564604</v>
      </c>
    </row>
    <row r="697" spans="1:4" x14ac:dyDescent="0.25">
      <c r="A697" t="s">
        <v>78</v>
      </c>
      <c r="B697">
        <v>3</v>
      </c>
      <c r="C697">
        <v>4</v>
      </c>
      <c r="D697">
        <v>7833.66469140555</v>
      </c>
    </row>
    <row r="698" spans="1:4" x14ac:dyDescent="0.25">
      <c r="A698" t="s">
        <v>79</v>
      </c>
      <c r="B698">
        <v>2</v>
      </c>
      <c r="C698">
        <v>1</v>
      </c>
      <c r="D698">
        <v>3895.6629445980798</v>
      </c>
    </row>
    <row r="699" spans="1:4" x14ac:dyDescent="0.25">
      <c r="A699" t="s">
        <v>61</v>
      </c>
      <c r="B699">
        <v>1</v>
      </c>
      <c r="C699">
        <v>8</v>
      </c>
      <c r="D699">
        <v>11579.5652948323</v>
      </c>
    </row>
    <row r="700" spans="1:4" x14ac:dyDescent="0.25">
      <c r="A700" t="s">
        <v>78</v>
      </c>
      <c r="B700">
        <v>3</v>
      </c>
      <c r="C700">
        <v>5</v>
      </c>
      <c r="D700">
        <v>7677.4344561177704</v>
      </c>
    </row>
    <row r="701" spans="1:4" x14ac:dyDescent="0.25">
      <c r="A701" t="s">
        <v>79</v>
      </c>
      <c r="B701">
        <v>2</v>
      </c>
      <c r="C701">
        <v>2</v>
      </c>
      <c r="D701">
        <v>7559.7943373010003</v>
      </c>
    </row>
    <row r="702" spans="1:4" x14ac:dyDescent="0.25">
      <c r="A702" t="s">
        <v>61</v>
      </c>
      <c r="B702">
        <v>1</v>
      </c>
      <c r="C702">
        <v>9</v>
      </c>
      <c r="D702">
        <v>2466.4936482005801</v>
      </c>
    </row>
    <row r="703" spans="1:4" x14ac:dyDescent="0.25">
      <c r="A703" t="s">
        <v>78</v>
      </c>
      <c r="B703">
        <v>3</v>
      </c>
      <c r="C703">
        <v>6</v>
      </c>
      <c r="D703">
        <v>9831.3513486600605</v>
      </c>
    </row>
    <row r="704" spans="1:4" x14ac:dyDescent="0.25">
      <c r="A704" t="s">
        <v>79</v>
      </c>
      <c r="B704">
        <v>2</v>
      </c>
      <c r="C704">
        <v>3</v>
      </c>
      <c r="D704">
        <v>1524.9564550776599</v>
      </c>
    </row>
    <row r="705" spans="1:4" x14ac:dyDescent="0.25">
      <c r="A705" t="s">
        <v>61</v>
      </c>
      <c r="B705">
        <v>1</v>
      </c>
      <c r="C705">
        <v>10</v>
      </c>
      <c r="D705">
        <v>3837.9860468687002</v>
      </c>
    </row>
    <row r="706" spans="1:4" x14ac:dyDescent="0.25">
      <c r="A706" t="s">
        <v>78</v>
      </c>
      <c r="B706">
        <v>3</v>
      </c>
      <c r="C706">
        <v>7</v>
      </c>
      <c r="D706">
        <v>21268.527415026099</v>
      </c>
    </row>
    <row r="707" spans="1:4" x14ac:dyDescent="0.25">
      <c r="A707" t="s">
        <v>79</v>
      </c>
      <c r="B707">
        <v>2</v>
      </c>
      <c r="C707">
        <v>4</v>
      </c>
      <c r="D707">
        <v>4803.0714900305802</v>
      </c>
    </row>
    <row r="708" spans="1:4" x14ac:dyDescent="0.25">
      <c r="A708" t="s">
        <v>61</v>
      </c>
      <c r="B708">
        <v>1</v>
      </c>
      <c r="C708">
        <v>11</v>
      </c>
      <c r="D708">
        <v>5921.5268418292299</v>
      </c>
    </row>
    <row r="709" spans="1:4" x14ac:dyDescent="0.25">
      <c r="A709" t="s">
        <v>78</v>
      </c>
      <c r="B709">
        <v>3</v>
      </c>
      <c r="C709">
        <v>8</v>
      </c>
      <c r="D709">
        <v>12089.0748341995</v>
      </c>
    </row>
    <row r="710" spans="1:4" x14ac:dyDescent="0.25">
      <c r="A710" t="s">
        <v>79</v>
      </c>
      <c r="B710">
        <v>2</v>
      </c>
      <c r="C710">
        <v>5</v>
      </c>
      <c r="D710">
        <v>4901.8242428865997</v>
      </c>
    </row>
    <row r="711" spans="1:4" x14ac:dyDescent="0.25">
      <c r="A711" t="s">
        <v>61</v>
      </c>
      <c r="B711">
        <v>1</v>
      </c>
      <c r="C711">
        <v>12</v>
      </c>
      <c r="D711">
        <v>4228.8791715859998</v>
      </c>
    </row>
    <row r="712" spans="1:4" x14ac:dyDescent="0.25">
      <c r="A712" t="s">
        <v>78</v>
      </c>
      <c r="B712">
        <v>3</v>
      </c>
      <c r="C712">
        <v>9</v>
      </c>
      <c r="D712">
        <v>30124.873710067099</v>
      </c>
    </row>
    <row r="713" spans="1:4" x14ac:dyDescent="0.25">
      <c r="A713" t="s">
        <v>79</v>
      </c>
      <c r="B713">
        <v>2</v>
      </c>
      <c r="C713">
        <v>6</v>
      </c>
      <c r="D713">
        <v>3578.82436846976</v>
      </c>
    </row>
    <row r="714" spans="1:4" x14ac:dyDescent="0.25">
      <c r="A714" t="s">
        <v>61</v>
      </c>
      <c r="B714">
        <v>1</v>
      </c>
      <c r="C714">
        <v>13</v>
      </c>
      <c r="D714">
        <v>7029.27708796964</v>
      </c>
    </row>
    <row r="715" spans="1:4" x14ac:dyDescent="0.25">
      <c r="A715" t="s">
        <v>78</v>
      </c>
      <c r="B715">
        <v>3</v>
      </c>
      <c r="C715">
        <v>10</v>
      </c>
      <c r="D715">
        <v>21803.4689285698</v>
      </c>
    </row>
    <row r="716" spans="1:4" x14ac:dyDescent="0.25">
      <c r="A716" t="s">
        <v>79</v>
      </c>
      <c r="B716">
        <v>2</v>
      </c>
      <c r="C716">
        <v>7</v>
      </c>
      <c r="D716">
        <v>2020.7943571440101</v>
      </c>
    </row>
    <row r="717" spans="1:4" x14ac:dyDescent="0.25">
      <c r="A717" t="s">
        <v>61</v>
      </c>
      <c r="B717">
        <v>1</v>
      </c>
      <c r="C717">
        <v>14</v>
      </c>
      <c r="D717">
        <v>10063.5001183682</v>
      </c>
    </row>
    <row r="718" spans="1:4" x14ac:dyDescent="0.25">
      <c r="A718" t="s">
        <v>78</v>
      </c>
      <c r="B718">
        <v>3</v>
      </c>
      <c r="C718">
        <v>11</v>
      </c>
      <c r="D718">
        <v>12436.666600480199</v>
      </c>
    </row>
    <row r="719" spans="1:4" x14ac:dyDescent="0.25">
      <c r="A719" t="s">
        <v>79</v>
      </c>
      <c r="B719">
        <v>2</v>
      </c>
      <c r="C719">
        <v>8</v>
      </c>
      <c r="D719">
        <v>7359.10432144276</v>
      </c>
    </row>
    <row r="720" spans="1:4" x14ac:dyDescent="0.25">
      <c r="A720" t="s">
        <v>61</v>
      </c>
      <c r="B720">
        <v>1</v>
      </c>
      <c r="C720">
        <v>15</v>
      </c>
      <c r="D720">
        <v>12064.3999903525</v>
      </c>
    </row>
    <row r="721" spans="1:4" x14ac:dyDescent="0.25">
      <c r="A721" t="s">
        <v>78</v>
      </c>
      <c r="B721">
        <v>3</v>
      </c>
      <c r="C721">
        <v>12</v>
      </c>
      <c r="D721">
        <v>17772.7774598006</v>
      </c>
    </row>
    <row r="722" spans="1:4" x14ac:dyDescent="0.25">
      <c r="A722" t="s">
        <v>79</v>
      </c>
      <c r="B722">
        <v>2</v>
      </c>
      <c r="C722">
        <v>9</v>
      </c>
      <c r="D722">
        <v>2140.90468390766</v>
      </c>
    </row>
    <row r="723" spans="1:4" x14ac:dyDescent="0.25">
      <c r="A723" t="s">
        <v>82</v>
      </c>
      <c r="B723">
        <v>5</v>
      </c>
      <c r="C723">
        <v>20</v>
      </c>
      <c r="D723">
        <v>3841.5791246520998</v>
      </c>
    </row>
    <row r="724" spans="1:4" x14ac:dyDescent="0.25">
      <c r="A724" t="s">
        <v>61</v>
      </c>
      <c r="B724">
        <v>1</v>
      </c>
      <c r="C724">
        <v>16</v>
      </c>
      <c r="D724">
        <v>2621.7186098146599</v>
      </c>
    </row>
    <row r="725" spans="1:4" x14ac:dyDescent="0.25">
      <c r="A725" t="s">
        <v>78</v>
      </c>
      <c r="B725">
        <v>3</v>
      </c>
      <c r="C725">
        <v>13</v>
      </c>
      <c r="D725">
        <v>19656.995872686701</v>
      </c>
    </row>
    <row r="726" spans="1:4" x14ac:dyDescent="0.25">
      <c r="A726" t="s">
        <v>79</v>
      </c>
      <c r="B726">
        <v>2</v>
      </c>
      <c r="C726">
        <v>10</v>
      </c>
      <c r="D726">
        <v>4663.0721522484801</v>
      </c>
    </row>
    <row r="727" spans="1:4" x14ac:dyDescent="0.25">
      <c r="A727" t="s">
        <v>82</v>
      </c>
      <c r="B727">
        <v>5</v>
      </c>
      <c r="C727">
        <v>21</v>
      </c>
      <c r="D727">
        <v>1116.45366055758</v>
      </c>
    </row>
    <row r="728" spans="1:4" x14ac:dyDescent="0.25">
      <c r="A728" t="s">
        <v>61</v>
      </c>
      <c r="B728">
        <v>1</v>
      </c>
      <c r="C728">
        <v>17</v>
      </c>
      <c r="D728">
        <v>4486.3296501643999</v>
      </c>
    </row>
    <row r="729" spans="1:4" x14ac:dyDescent="0.25">
      <c r="A729" t="s">
        <v>78</v>
      </c>
      <c r="B729">
        <v>3</v>
      </c>
      <c r="C729">
        <v>14</v>
      </c>
      <c r="D729">
        <v>11633.5935396764</v>
      </c>
    </row>
    <row r="730" spans="1:4" x14ac:dyDescent="0.25">
      <c r="A730" t="s">
        <v>79</v>
      </c>
      <c r="B730">
        <v>2</v>
      </c>
      <c r="C730">
        <v>11</v>
      </c>
      <c r="D730">
        <v>7021.5047050143403</v>
      </c>
    </row>
    <row r="731" spans="1:4" x14ac:dyDescent="0.25">
      <c r="A731" t="s">
        <v>82</v>
      </c>
      <c r="B731">
        <v>5</v>
      </c>
      <c r="C731">
        <v>22</v>
      </c>
      <c r="D731">
        <v>1003.61423492878</v>
      </c>
    </row>
    <row r="732" spans="1:4" x14ac:dyDescent="0.25">
      <c r="A732" t="s">
        <v>61</v>
      </c>
      <c r="B732">
        <v>1</v>
      </c>
      <c r="C732">
        <v>18</v>
      </c>
      <c r="D732">
        <v>12124.6580235576</v>
      </c>
    </row>
    <row r="733" spans="1:4" x14ac:dyDescent="0.25">
      <c r="A733" t="s">
        <v>78</v>
      </c>
      <c r="B733">
        <v>3</v>
      </c>
      <c r="C733">
        <v>15</v>
      </c>
      <c r="D733">
        <v>11218.9859929371</v>
      </c>
    </row>
    <row r="734" spans="1:4" x14ac:dyDescent="0.25">
      <c r="A734" t="s">
        <v>79</v>
      </c>
      <c r="B734">
        <v>2</v>
      </c>
      <c r="C734">
        <v>12</v>
      </c>
      <c r="D734">
        <v>4487.42325809668</v>
      </c>
    </row>
    <row r="735" spans="1:4" x14ac:dyDescent="0.25">
      <c r="A735" t="s">
        <v>82</v>
      </c>
      <c r="B735">
        <v>5</v>
      </c>
      <c r="C735">
        <v>23</v>
      </c>
      <c r="D735">
        <v>912.25307237952802</v>
      </c>
    </row>
    <row r="736" spans="1:4" x14ac:dyDescent="0.25">
      <c r="A736" t="s">
        <v>61</v>
      </c>
      <c r="B736">
        <v>1</v>
      </c>
      <c r="C736">
        <v>19</v>
      </c>
      <c r="D736">
        <v>2363.52030861607</v>
      </c>
    </row>
    <row r="737" spans="1:4" x14ac:dyDescent="0.25">
      <c r="A737" t="s">
        <v>78</v>
      </c>
      <c r="B737">
        <v>3</v>
      </c>
      <c r="C737">
        <v>16</v>
      </c>
      <c r="D737">
        <v>11087.1721888875</v>
      </c>
    </row>
    <row r="738" spans="1:4" x14ac:dyDescent="0.25">
      <c r="A738" t="s">
        <v>79</v>
      </c>
      <c r="B738">
        <v>2</v>
      </c>
      <c r="C738">
        <v>13</v>
      </c>
      <c r="D738">
        <v>2295.3069337438401</v>
      </c>
    </row>
    <row r="739" spans="1:4" x14ac:dyDescent="0.25">
      <c r="A739" t="s">
        <v>82</v>
      </c>
      <c r="B739">
        <v>5</v>
      </c>
      <c r="C739">
        <v>24</v>
      </c>
      <c r="D739">
        <v>838.91722706904</v>
      </c>
    </row>
    <row r="740" spans="1:4" x14ac:dyDescent="0.25">
      <c r="A740" t="s">
        <v>61</v>
      </c>
      <c r="B740">
        <v>1</v>
      </c>
      <c r="C740">
        <v>20</v>
      </c>
      <c r="D740">
        <v>4914.5433870473598</v>
      </c>
    </row>
    <row r="741" spans="1:4" x14ac:dyDescent="0.25">
      <c r="A741" t="s">
        <v>78</v>
      </c>
      <c r="B741">
        <v>3</v>
      </c>
      <c r="C741">
        <v>17</v>
      </c>
      <c r="D741">
        <v>19375.552407140502</v>
      </c>
    </row>
    <row r="742" spans="1:4" x14ac:dyDescent="0.25">
      <c r="A742" t="s">
        <v>79</v>
      </c>
      <c r="B742">
        <v>2</v>
      </c>
      <c r="C742">
        <v>14</v>
      </c>
      <c r="D742">
        <v>7931.5668085195502</v>
      </c>
    </row>
    <row r="743" spans="1:4" x14ac:dyDescent="0.25">
      <c r="A743" t="s">
        <v>82</v>
      </c>
      <c r="B743">
        <v>5</v>
      </c>
      <c r="C743">
        <v>25</v>
      </c>
      <c r="D743">
        <v>785.63407379094394</v>
      </c>
    </row>
    <row r="744" spans="1:4" x14ac:dyDescent="0.25">
      <c r="A744" t="s">
        <v>61</v>
      </c>
      <c r="B744">
        <v>1</v>
      </c>
      <c r="C744">
        <v>21</v>
      </c>
      <c r="D744">
        <v>3366.16470409046</v>
      </c>
    </row>
    <row r="745" spans="1:4" x14ac:dyDescent="0.25">
      <c r="A745" t="s">
        <v>78</v>
      </c>
      <c r="B745">
        <v>3</v>
      </c>
      <c r="C745">
        <v>18</v>
      </c>
      <c r="D745">
        <v>27193.199032671298</v>
      </c>
    </row>
    <row r="746" spans="1:4" x14ac:dyDescent="0.25">
      <c r="A746" t="s">
        <v>79</v>
      </c>
      <c r="B746">
        <v>2</v>
      </c>
      <c r="C746">
        <v>15</v>
      </c>
      <c r="D746">
        <v>7457.5215060013797</v>
      </c>
    </row>
    <row r="747" spans="1:4" x14ac:dyDescent="0.25">
      <c r="A747" t="s">
        <v>82</v>
      </c>
      <c r="B747">
        <v>5</v>
      </c>
      <c r="C747">
        <v>26</v>
      </c>
      <c r="D747">
        <v>742.27882076684295</v>
      </c>
    </row>
    <row r="748" spans="1:4" x14ac:dyDescent="0.25">
      <c r="A748" t="s">
        <v>61</v>
      </c>
      <c r="B748">
        <v>1</v>
      </c>
      <c r="C748">
        <v>22</v>
      </c>
      <c r="D748">
        <v>1250.7812720493</v>
      </c>
    </row>
    <row r="749" spans="1:4" x14ac:dyDescent="0.25">
      <c r="A749" t="s">
        <v>78</v>
      </c>
      <c r="B749">
        <v>3</v>
      </c>
      <c r="C749">
        <v>19</v>
      </c>
      <c r="D749">
        <v>12050.987182609701</v>
      </c>
    </row>
    <row r="750" spans="1:4" x14ac:dyDescent="0.25">
      <c r="A750" t="s">
        <v>79</v>
      </c>
      <c r="B750">
        <v>2</v>
      </c>
      <c r="C750">
        <v>16</v>
      </c>
      <c r="D750">
        <v>4497.5816270346804</v>
      </c>
    </row>
    <row r="751" spans="1:4" x14ac:dyDescent="0.25">
      <c r="A751" t="s">
        <v>82</v>
      </c>
      <c r="B751">
        <v>5</v>
      </c>
      <c r="C751">
        <v>27</v>
      </c>
      <c r="D751">
        <v>704.18916978650498</v>
      </c>
    </row>
    <row r="752" spans="1:4" x14ac:dyDescent="0.25">
      <c r="A752" t="s">
        <v>61</v>
      </c>
      <c r="B752">
        <v>1</v>
      </c>
      <c r="C752">
        <v>23</v>
      </c>
      <c r="D752">
        <v>7961.4699277474701</v>
      </c>
    </row>
    <row r="753" spans="1:4" x14ac:dyDescent="0.25">
      <c r="A753" t="s">
        <v>78</v>
      </c>
      <c r="B753">
        <v>3</v>
      </c>
      <c r="C753">
        <v>20</v>
      </c>
      <c r="D753">
        <v>17725.3662225482</v>
      </c>
    </row>
    <row r="754" spans="1:4" x14ac:dyDescent="0.25">
      <c r="A754" t="s">
        <v>79</v>
      </c>
      <c r="B754">
        <v>2</v>
      </c>
      <c r="C754">
        <v>17</v>
      </c>
      <c r="D754">
        <v>6030.4018412064397</v>
      </c>
    </row>
    <row r="755" spans="1:4" x14ac:dyDescent="0.25">
      <c r="A755" t="s">
        <v>82</v>
      </c>
      <c r="B755">
        <v>5</v>
      </c>
      <c r="C755">
        <v>28</v>
      </c>
      <c r="D755">
        <v>670.68365717810502</v>
      </c>
    </row>
    <row r="756" spans="1:4" x14ac:dyDescent="0.25">
      <c r="A756" t="s">
        <v>61</v>
      </c>
      <c r="B756">
        <v>1</v>
      </c>
      <c r="C756">
        <v>24</v>
      </c>
      <c r="D756">
        <v>7078.8925698836501</v>
      </c>
    </row>
    <row r="757" spans="1:4" x14ac:dyDescent="0.25">
      <c r="A757" t="s">
        <v>78</v>
      </c>
      <c r="B757">
        <v>3</v>
      </c>
      <c r="C757">
        <v>21</v>
      </c>
      <c r="D757">
        <v>9879.2807558795193</v>
      </c>
    </row>
    <row r="758" spans="1:4" x14ac:dyDescent="0.25">
      <c r="A758" t="s">
        <v>79</v>
      </c>
      <c r="B758">
        <v>2</v>
      </c>
      <c r="C758">
        <v>18</v>
      </c>
      <c r="D758">
        <v>4787.2429296230703</v>
      </c>
    </row>
    <row r="759" spans="1:4" x14ac:dyDescent="0.25">
      <c r="A759" t="s">
        <v>82</v>
      </c>
      <c r="B759">
        <v>5</v>
      </c>
      <c r="C759">
        <v>29</v>
      </c>
      <c r="D759">
        <v>644.94684761702695</v>
      </c>
    </row>
    <row r="760" spans="1:4" x14ac:dyDescent="0.25">
      <c r="A760" t="s">
        <v>61</v>
      </c>
      <c r="B760">
        <v>1</v>
      </c>
      <c r="C760">
        <v>25</v>
      </c>
      <c r="D760">
        <v>4091.4216970430898</v>
      </c>
    </row>
    <row r="761" spans="1:4" x14ac:dyDescent="0.25">
      <c r="A761" t="s">
        <v>78</v>
      </c>
      <c r="B761">
        <v>3</v>
      </c>
      <c r="C761">
        <v>22</v>
      </c>
      <c r="D761">
        <v>15045.461833438099</v>
      </c>
    </row>
    <row r="762" spans="1:4" x14ac:dyDescent="0.25">
      <c r="A762" t="s">
        <v>79</v>
      </c>
      <c r="B762">
        <v>2</v>
      </c>
      <c r="C762">
        <v>19</v>
      </c>
      <c r="D762">
        <v>12289.4966254344</v>
      </c>
    </row>
    <row r="763" spans="1:4" x14ac:dyDescent="0.25">
      <c r="A763" t="s">
        <v>82</v>
      </c>
      <c r="B763">
        <v>5</v>
      </c>
      <c r="C763">
        <v>30</v>
      </c>
      <c r="D763">
        <v>617.39011109163403</v>
      </c>
    </row>
    <row r="764" spans="1:4" x14ac:dyDescent="0.25">
      <c r="A764" t="s">
        <v>61</v>
      </c>
      <c r="B764">
        <v>1</v>
      </c>
      <c r="C764">
        <v>26</v>
      </c>
      <c r="D764">
        <v>4132.2552598572402</v>
      </c>
    </row>
    <row r="765" spans="1:4" x14ac:dyDescent="0.25">
      <c r="A765" t="s">
        <v>78</v>
      </c>
      <c r="B765">
        <v>3</v>
      </c>
      <c r="C765">
        <v>23</v>
      </c>
      <c r="D765">
        <v>24713.230203953499</v>
      </c>
    </row>
    <row r="766" spans="1:4" x14ac:dyDescent="0.25">
      <c r="A766" t="s">
        <v>79</v>
      </c>
      <c r="B766">
        <v>2</v>
      </c>
      <c r="C766">
        <v>20</v>
      </c>
      <c r="D766">
        <v>9297.5673177742392</v>
      </c>
    </row>
    <row r="767" spans="1:4" x14ac:dyDescent="0.25">
      <c r="A767" t="s">
        <v>82</v>
      </c>
      <c r="B767">
        <v>5</v>
      </c>
      <c r="C767">
        <v>31</v>
      </c>
      <c r="D767">
        <v>593.37629170638502</v>
      </c>
    </row>
    <row r="768" spans="1:4" x14ac:dyDescent="0.25">
      <c r="A768" t="s">
        <v>61</v>
      </c>
      <c r="B768">
        <v>1</v>
      </c>
      <c r="C768">
        <v>27</v>
      </c>
      <c r="D768">
        <v>4272.2990687271104</v>
      </c>
    </row>
    <row r="769" spans="1:4" x14ac:dyDescent="0.25">
      <c r="A769" t="s">
        <v>78</v>
      </c>
      <c r="B769">
        <v>3</v>
      </c>
      <c r="C769">
        <v>24</v>
      </c>
      <c r="D769">
        <v>14537.0164860806</v>
      </c>
    </row>
    <row r="770" spans="1:4" x14ac:dyDescent="0.25">
      <c r="A770" t="s">
        <v>61</v>
      </c>
      <c r="B770">
        <v>1</v>
      </c>
      <c r="C770">
        <v>28</v>
      </c>
      <c r="D770">
        <v>5302.5607062249401</v>
      </c>
    </row>
    <row r="771" spans="1:4" x14ac:dyDescent="0.25">
      <c r="A771" t="s">
        <v>78</v>
      </c>
      <c r="B771">
        <v>3</v>
      </c>
      <c r="C771">
        <v>25</v>
      </c>
      <c r="D771">
        <v>28348.231036601301</v>
      </c>
    </row>
    <row r="772" spans="1:4" x14ac:dyDescent="0.25">
      <c r="A772" t="s">
        <v>61</v>
      </c>
      <c r="B772">
        <v>1</v>
      </c>
      <c r="C772">
        <v>29</v>
      </c>
      <c r="D772">
        <v>13979.7209388669</v>
      </c>
    </row>
    <row r="773" spans="1:4" x14ac:dyDescent="0.25">
      <c r="A773" t="s">
        <v>78</v>
      </c>
      <c r="B773">
        <v>3</v>
      </c>
      <c r="C773">
        <v>26</v>
      </c>
      <c r="D773">
        <v>16845.456035704599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Data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Kathleen Wilson</dc:creator>
  <cp:lastModifiedBy>Yaakov Tayeb</cp:lastModifiedBy>
  <dcterms:created xsi:type="dcterms:W3CDTF">2017-06-23T09:56:25Z</dcterms:created>
  <dcterms:modified xsi:type="dcterms:W3CDTF">2017-07-18T17:43:59Z</dcterms:modified>
</cp:coreProperties>
</file>